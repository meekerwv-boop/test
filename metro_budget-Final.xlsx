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pSharesUser1\Desktop\NewForce\Excel\"/>
    </mc:Choice>
  </mc:AlternateContent>
  <xr:revisionPtr revIDLastSave="0" documentId="8_{305D6ED5-AF10-4C51-90B8-4AE6EE12602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etro_budget" sheetId="1" r:id="rId1"/>
    <sheet name="data_dictionary" sheetId="2" r:id="rId2"/>
  </sheets>
  <definedNames>
    <definedName name="_BoardsBudgetAnnDiffs">metro_budget!$A$55:$D$61</definedName>
    <definedName name="_MetroBudgetTotals">metro_budget!$A$1:$J$52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</calcChain>
</file>

<file path=xl/sharedStrings.xml><?xml version="1.0" encoding="utf-8"?>
<sst xmlns="http://schemas.openxmlformats.org/spreadsheetml/2006/main" count="92" uniqueCount="72">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</sst>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E61" sqref="E61"/>
    </sheetView>
  </sheetViews>
  <sheetFormatPr defaultRowHeight="15" x14ac:dyDescent="0.25"/>
  <cols>
    <col min="1" max="1" width="29" customWidth="1"/>
    <col min="2" max="2" width="16.140625" customWidth="1"/>
    <col min="3" max="3" width="16.28515625" customWidth="1"/>
    <col min="4" max="4" width="12.5703125" customWidth="1"/>
    <col min="5" max="5" width="15.5703125" customWidth="1"/>
    <col min="6" max="6" width="12.5703125" customWidth="1"/>
    <col min="7" max="8" width="15.85546875" customWidth="1"/>
    <col min="9" max="9" width="15.42578125" customWidth="1"/>
    <col min="10" max="10" width="17.85546875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</v>
      </c>
    </row>
    <row r="2" spans="1:11" x14ac:dyDescent="0.25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 x14ac:dyDescent="0.25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 x14ac:dyDescent="0.25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25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25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25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25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25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25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25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25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25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25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25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25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25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25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25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25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25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25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25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25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25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25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25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25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25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25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25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25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25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25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25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25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25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25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x14ac:dyDescent="0.25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25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25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25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25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25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25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25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25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25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25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25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25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25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25">
      <c r="A56" t="s">
        <v>18</v>
      </c>
      <c r="B56">
        <f>INDEX($A$1:$J$52, 10,4)</f>
        <v>-36209.629999999903</v>
      </c>
      <c r="C56">
        <f>INDEX($A$1:$J$52, 10,7)</f>
        <v>-27292.159999999902</v>
      </c>
      <c r="D56">
        <f>INDEX($A$1:$J$52, 10,10)</f>
        <v>-9181.0800000000108</v>
      </c>
    </row>
    <row r="57" spans="1:11" x14ac:dyDescent="0.25">
      <c r="A57" t="s">
        <v>19</v>
      </c>
      <c r="B57">
        <f>INDEX($A$1:$J$52, 11,4)</f>
        <v>0</v>
      </c>
      <c r="C57">
        <f>INDEX($A$1:$J$52, 11,7)</f>
        <v>0</v>
      </c>
      <c r="D57">
        <f>INDEX($A$1:$J$52, 11,10)</f>
        <v>-311228.08999999898</v>
      </c>
    </row>
    <row r="58" spans="1:11" x14ac:dyDescent="0.25">
      <c r="A58" t="s">
        <v>26</v>
      </c>
      <c r="B58">
        <f>INDEX($A$1:$J$52, 18,4)</f>
        <v>-149396.1</v>
      </c>
      <c r="C58">
        <f>INDEX($A$1:$J$52, 18,7)</f>
        <v>-189254.05999999901</v>
      </c>
      <c r="D58">
        <f>INDEX($A$1:$J$52, 18,10)</f>
        <v>-374962.91</v>
      </c>
    </row>
    <row r="59" spans="1:11" x14ac:dyDescent="0.25">
      <c r="A59" t="s">
        <v>32</v>
      </c>
      <c r="B59">
        <f>INDEX($A$1:$J$52, 24,4)</f>
        <v>-12230.809999999799</v>
      </c>
      <c r="C59">
        <f>INDEX($A$1:$J$52, 24,7)</f>
        <v>-45485.579999999798</v>
      </c>
      <c r="D59">
        <f>INDEX($A$1:$J$52, 24,10)</f>
        <v>-72.879999999888199</v>
      </c>
    </row>
    <row r="60" spans="1:11" x14ac:dyDescent="0.25">
      <c r="A60" t="s">
        <v>33</v>
      </c>
      <c r="B60">
        <f>INDEX($A$1:$J$52, 25,4)</f>
        <v>-4950.4699999999102</v>
      </c>
      <c r="C60">
        <f>INDEX($A$1:$J$52, 25,7)</f>
        <v>-8005.79000000003</v>
      </c>
      <c r="D60">
        <f>INDEX($A$1:$J$52, 25,10)</f>
        <v>-1724.8999999999601</v>
      </c>
    </row>
    <row r="61" spans="1:11" x14ac:dyDescent="0.25">
      <c r="A61" t="s">
        <v>49</v>
      </c>
      <c r="B61">
        <f>INDEX($A$1:$J$52, 41,4)</f>
        <v>-184239.79</v>
      </c>
      <c r="C61">
        <f>INDEX($A$1:$J$52, 41,7)</f>
        <v>-133456.33000000101</v>
      </c>
      <c r="D61">
        <f>INDEX($A$1:$J$52, 41,10)</f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5" x14ac:dyDescent="0.25"/>
  <cols>
    <col min="1" max="1" width="12.85546875" bestFit="1" customWidth="1"/>
    <col min="2" max="2" width="52.7109375" bestFit="1" customWidth="1"/>
  </cols>
  <sheetData>
    <row r="1" spans="1:2" x14ac:dyDescent="0.25">
      <c r="A1" s="2" t="s">
        <v>0</v>
      </c>
      <c r="B1" s="3" t="s">
        <v>61</v>
      </c>
    </row>
    <row r="2" spans="1:2" x14ac:dyDescent="0.25">
      <c r="A2" s="2" t="s">
        <v>1</v>
      </c>
      <c r="B2" s="3" t="s">
        <v>62</v>
      </c>
    </row>
    <row r="3" spans="1:2" x14ac:dyDescent="0.25">
      <c r="A3" s="2" t="s">
        <v>2</v>
      </c>
      <c r="B3" s="3" t="s">
        <v>63</v>
      </c>
    </row>
    <row r="4" spans="1:2" x14ac:dyDescent="0.25">
      <c r="A4" s="2" t="s">
        <v>3</v>
      </c>
      <c r="B4" s="3" t="s">
        <v>64</v>
      </c>
    </row>
    <row r="5" spans="1:2" x14ac:dyDescent="0.25">
      <c r="A5" s="2" t="s">
        <v>4</v>
      </c>
      <c r="B5" s="3" t="s">
        <v>65</v>
      </c>
    </row>
    <row r="6" spans="1:2" x14ac:dyDescent="0.25">
      <c r="A6" s="2" t="s">
        <v>5</v>
      </c>
      <c r="B6" s="3" t="s">
        <v>66</v>
      </c>
    </row>
    <row r="7" spans="1:2" x14ac:dyDescent="0.25">
      <c r="A7" s="2" t="s">
        <v>6</v>
      </c>
      <c r="B7" s="3" t="s">
        <v>67</v>
      </c>
    </row>
    <row r="8" spans="1:2" x14ac:dyDescent="0.25">
      <c r="A8" s="2" t="s">
        <v>7</v>
      </c>
      <c r="B8" s="3" t="s">
        <v>68</v>
      </c>
    </row>
    <row r="9" spans="1:2" x14ac:dyDescent="0.25">
      <c r="A9" s="2" t="s">
        <v>8</v>
      </c>
      <c r="B9" s="3" t="s">
        <v>69</v>
      </c>
    </row>
    <row r="10" spans="1:2" x14ac:dyDescent="0.25">
      <c r="A10" s="2" t="s">
        <v>9</v>
      </c>
      <c r="B10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metro_budget</vt:lpstr>
      <vt:lpstr>data_dictionary</vt:lpstr>
      <vt:lpstr>_BoardsBudgetAnnDiffs</vt:lpstr>
      <vt:lpstr>_MetroBudgetTotals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ShepSharesUser1</dc:creator>
  <cp:keywords/>
  <dc:description/>
  <cp:lastModifiedBy>John D Meeker</cp:lastModifiedBy>
  <cp:revision/>
  <dcterms:created xsi:type="dcterms:W3CDTF">2020-02-26T17:00:38Z</dcterms:created>
  <dcterms:modified xsi:type="dcterms:W3CDTF">2026-01-13T15:05:14Z</dcterms:modified>
  <cp:category/>
  <cp:contentStatus/>
</cp:coreProperties>
</file>