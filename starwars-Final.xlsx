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pSharesUser1\Desktop\NewForce\Excel\"/>
    </mc:Choice>
  </mc:AlternateContent>
  <xr:revisionPtr revIDLastSave="0" documentId="8_{BF81A75B-C0E8-467A-AC78-D4279477ACA5}" xr6:coauthVersionLast="47" xr6:coauthVersionMax="47" xr10:uidLastSave="{00000000-0000-0000-0000-000000000000}"/>
  <bookViews>
    <workbookView xWindow="27330" yWindow="2415" windowWidth="21600" windowHeight="11295" xr2:uid="{00000000-000D-0000-FFFF-FFFF00000000}"/>
  </bookViews>
  <sheets>
    <sheet name="starwar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E8" i="1"/>
  <c r="E9" i="1"/>
  <c r="E15" i="1"/>
  <c r="E16" i="1"/>
  <c r="E17" i="1"/>
  <c r="E23" i="1"/>
  <c r="E24" i="1"/>
  <c r="E25" i="1"/>
  <c r="E31" i="1"/>
  <c r="E32" i="1"/>
  <c r="E33" i="1"/>
  <c r="E39" i="1"/>
  <c r="E40" i="1"/>
  <c r="E41" i="1"/>
  <c r="E47" i="1"/>
  <c r="E48" i="1"/>
  <c r="E49" i="1"/>
  <c r="E55" i="1"/>
  <c r="E56" i="1"/>
  <c r="E57" i="1"/>
  <c r="E63" i="1"/>
  <c r="E64" i="1"/>
  <c r="E65" i="1"/>
  <c r="E71" i="1"/>
  <c r="E72" i="1"/>
  <c r="E73" i="1"/>
  <c r="E79" i="1"/>
  <c r="E80" i="1"/>
  <c r="E81" i="1"/>
  <c r="E87" i="1"/>
  <c r="E88" i="1"/>
  <c r="E2" i="1"/>
  <c r="C3" i="1"/>
  <c r="E3" i="1" s="1"/>
  <c r="C4" i="1"/>
  <c r="E4" i="1" s="1"/>
  <c r="C5" i="1"/>
  <c r="E5" i="1" s="1"/>
  <c r="C6" i="1"/>
  <c r="E6" i="1" s="1"/>
  <c r="C7" i="1"/>
  <c r="E7" i="1" s="1"/>
  <c r="C8" i="1"/>
  <c r="C9" i="1"/>
  <c r="C10" i="1"/>
  <c r="E10" i="1" s="1"/>
  <c r="C11" i="1"/>
  <c r="E11" i="1" s="1"/>
  <c r="C12" i="1"/>
  <c r="E12" i="1" s="1"/>
  <c r="C13" i="1"/>
  <c r="E13" i="1" s="1"/>
  <c r="C14" i="1"/>
  <c r="E14" i="1" s="1"/>
  <c r="C15" i="1"/>
  <c r="C16" i="1"/>
  <c r="C17" i="1"/>
  <c r="C18" i="1"/>
  <c r="E18" i="1" s="1"/>
  <c r="C19" i="1"/>
  <c r="E19" i="1" s="1"/>
  <c r="C20" i="1"/>
  <c r="E20" i="1" s="1"/>
  <c r="C21" i="1"/>
  <c r="E21" i="1" s="1"/>
  <c r="C22" i="1"/>
  <c r="E22" i="1" s="1"/>
  <c r="C23" i="1"/>
  <c r="C24" i="1"/>
  <c r="C25" i="1"/>
  <c r="C26" i="1"/>
  <c r="E26" i="1" s="1"/>
  <c r="C27" i="1"/>
  <c r="E27" i="1" s="1"/>
  <c r="C28" i="1"/>
  <c r="E28" i="1" s="1"/>
  <c r="C29" i="1"/>
  <c r="E29" i="1" s="1"/>
  <c r="C30" i="1"/>
  <c r="E30" i="1" s="1"/>
  <c r="C31" i="1"/>
  <c r="C32" i="1"/>
  <c r="C33" i="1"/>
  <c r="C34" i="1"/>
  <c r="E34" i="1" s="1"/>
  <c r="C35" i="1"/>
  <c r="E35" i="1" s="1"/>
  <c r="C36" i="1"/>
  <c r="E36" i="1" s="1"/>
  <c r="C37" i="1"/>
  <c r="E37" i="1" s="1"/>
  <c r="C38" i="1"/>
  <c r="E38" i="1" s="1"/>
  <c r="C39" i="1"/>
  <c r="C40" i="1"/>
  <c r="C41" i="1"/>
  <c r="C42" i="1"/>
  <c r="E42" i="1" s="1"/>
  <c r="C43" i="1"/>
  <c r="E43" i="1" s="1"/>
  <c r="C44" i="1"/>
  <c r="E44" i="1" s="1"/>
  <c r="C45" i="1"/>
  <c r="E45" i="1" s="1"/>
  <c r="C46" i="1"/>
  <c r="E46" i="1" s="1"/>
  <c r="C47" i="1"/>
  <c r="C48" i="1"/>
  <c r="C49" i="1"/>
  <c r="C50" i="1"/>
  <c r="E50" i="1" s="1"/>
  <c r="C51" i="1"/>
  <c r="E51" i="1" s="1"/>
  <c r="C52" i="1"/>
  <c r="E52" i="1" s="1"/>
  <c r="C53" i="1"/>
  <c r="E53" i="1" s="1"/>
  <c r="C54" i="1"/>
  <c r="E54" i="1" s="1"/>
  <c r="C55" i="1"/>
  <c r="C56" i="1"/>
  <c r="C57" i="1"/>
  <c r="C58" i="1"/>
  <c r="E58" i="1" s="1"/>
  <c r="C59" i="1"/>
  <c r="E59" i="1" s="1"/>
  <c r="C60" i="1"/>
  <c r="E60" i="1" s="1"/>
  <c r="C61" i="1"/>
  <c r="E61" i="1" s="1"/>
  <c r="C62" i="1"/>
  <c r="E62" i="1" s="1"/>
  <c r="C63" i="1"/>
  <c r="C64" i="1"/>
  <c r="C65" i="1"/>
  <c r="C66" i="1"/>
  <c r="E66" i="1" s="1"/>
  <c r="C67" i="1"/>
  <c r="E67" i="1" s="1"/>
  <c r="C68" i="1"/>
  <c r="E68" i="1" s="1"/>
  <c r="C69" i="1"/>
  <c r="E69" i="1" s="1"/>
  <c r="C70" i="1"/>
  <c r="E70" i="1" s="1"/>
  <c r="C71" i="1"/>
  <c r="C72" i="1"/>
  <c r="C73" i="1"/>
  <c r="C74" i="1"/>
  <c r="E74" i="1" s="1"/>
  <c r="C75" i="1"/>
  <c r="E75" i="1" s="1"/>
  <c r="C76" i="1"/>
  <c r="E76" i="1" s="1"/>
  <c r="C77" i="1"/>
  <c r="E77" i="1" s="1"/>
  <c r="C78" i="1"/>
  <c r="E78" i="1" s="1"/>
  <c r="C79" i="1"/>
  <c r="C80" i="1"/>
  <c r="C81" i="1"/>
  <c r="C82" i="1"/>
  <c r="E82" i="1" s="1"/>
  <c r="C83" i="1"/>
  <c r="E83" i="1" s="1"/>
  <c r="C84" i="1"/>
  <c r="E84" i="1" s="1"/>
  <c r="C85" i="1"/>
  <c r="E85" i="1" s="1"/>
  <c r="C86" i="1"/>
  <c r="E86" i="1" s="1"/>
  <c r="C87" i="1"/>
  <c r="C88" i="1"/>
  <c r="C2" i="1"/>
</calcChain>
</file>

<file path=xl/sharedStrings.xml><?xml version="1.0" encoding="utf-8"?>
<sst xmlns="http://schemas.openxmlformats.org/spreadsheetml/2006/main" count="720" uniqueCount="267">
  <si>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</si>
  <si>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</si>
  <si>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</si>
  <si>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</si>
  <si>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</si>
  <si>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</si>
  <si>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</si>
  <si>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</si>
  <si>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</si>
  <si>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</si>
  <si>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</si>
  <si>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</si>
  <si>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</si>
  <si>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</si>
  <si>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</si>
  <si>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</si>
  <si>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</si>
  <si>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</si>
  <si>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</si>
  <si>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</si>
  <si>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</si>
  <si>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</si>
  <si>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</si>
  <si>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</si>
  <si>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</si>
  <si>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</si>
  <si>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</si>
  <si>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</si>
  <si>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</si>
  <si>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</si>
  <si>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</si>
  <si>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</si>
  <si>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</si>
  <si>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</si>
  <si>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</si>
  <si>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</si>
  <si>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</si>
  <si>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</si>
  <si>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</si>
  <si>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</si>
  <si>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</si>
  <si>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</si>
  <si>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</si>
  <si>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</si>
  <si>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</si>
  <si>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</si>
  <si>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</si>
  <si>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</si>
  <si>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</si>
  <si>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</si>
  <si>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</si>
  <si>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</si>
  <si>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</si>
  <si>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</si>
  <si>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</si>
  <si>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</si>
  <si>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</si>
  <si>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</si>
  <si>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</si>
  <si>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</si>
  <si>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</si>
  <si>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</si>
  <si>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</si>
  <si>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</si>
  <si>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</si>
  <si>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</si>
  <si>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</si>
  <si>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</si>
  <si>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</si>
  <si>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</si>
  <si>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</si>
  <si>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</si>
  <si>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</si>
  <si>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</si>
  <si>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</si>
  <si>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</si>
  <si>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</si>
  <si>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</si>
  <si>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</si>
  <si>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</si>
  <si>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</si>
  <si>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</si>
  <si>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</si>
  <si>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</si>
  <si>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</si>
  <si>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</si>
  <si>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</si>
  <si>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</si>
  <si>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</si>
  <si>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</si>
  <si>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</si>
  <si>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</si>
  <si>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</si>
  <si>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</si>
  <si>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</si>
  <si>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</si>
  <si>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</si>
  <si>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</si>
  <si>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</si>
  <si>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</si>
  <si>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</si>
  <si>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</si>
  <si>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</si>
  <si>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</si>
  <si>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</si>
  <si>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</si>
  <si>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</si>
  <si>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</si>
  <si>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</si>
  <si>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</si>
  <si>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</si>
  <si>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</si>
  <si>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</si>
  <si>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</si>
  <si>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</si>
  <si>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</si>
  <si>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</si>
  <si>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</si>
  <si>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</si>
  <si>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</si>
  <si>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</si>
  <si>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</si>
  <si>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</si>
  <si>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</si>
  <si>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</si>
  <si>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</si>
  <si>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</si>
  <si>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</si>
  <si>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</si>
  <si>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</si>
  <si>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</si>
  <si>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</si>
  <si>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</si>
  <si>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</si>
  <si>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</si>
  <si>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</si>
  <si>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</si>
  <si>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</si>
  <si>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</si>
  <si>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</si>
  <si>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</si>
  <si>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</si>
  <si>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</si>
  <si>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</si>
  <si>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</si>
  <si>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</si>
  <si>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</si>
  <si>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</si>
  <si>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</si>
  <si>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</si>
  <si>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</si>
  <si>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</si>
  <si>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</si>
  <si>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</si>
  <si>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</si>
  <si>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</si>
  <si>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</si>
  <si>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</si>
  <si>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</si>
  <si>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</si>
  <si>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</si>
  <si>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</si>
  <si>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</si>
  <si>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</si>
  <si>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</si>
  <si>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</si>
  <si>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</si>
  <si>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</si>
  <si>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</si>
  <si>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</si>
  <si>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</si>
  <si>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</si>
  <si>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</si>
  <si>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</si>
  <si>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</si>
  <si>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</si>
  <si>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</si>
  <si>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</si>
  <si>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</si>
  <si>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</si>
  <si>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</si>
  <si>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</si>
  <si>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</si>
  <si>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</si>
  <si>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</si>
  <si>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</si>
  <si>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</si>
  <si>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</si>
  <si>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</si>
  <si>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</si>
  <si>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</si>
  <si>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</si>
  <si>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</si>
  <si>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</si>
  <si>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</si>
  <si>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</si>
  <si>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</si>
  <si>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</si>
  <si>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</si>
  <si>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</si>
  <si>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</si>
  <si>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</si>
  <si>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</si>
  <si>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</si>
  <si>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</si>
  <si>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</si>
  <si>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</si>
  <si>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</si>
  <si>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</si>
  <si>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</si>
  <si>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</si>
  <si>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</si>
  <si>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</si>
  <si>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</si>
  <si>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</si>
  <si>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</si>
  <si>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</si>
  <si>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</si>
  <si>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</si>
  <si>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</si>
  <si>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</si>
  <si>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</si>
  <si>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</si>
  <si>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</si>
  <si>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</si>
  <si>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</si>
  <si>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</si>
  <si>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</si>
  <si>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</si>
  <si>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</si>
  <si>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</si>
  <si>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</si>
  <si>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</si>
  <si>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</si>
  <si>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</si>
  <si>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</si>
  <si>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</si>
  <si>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</si>
  <si>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</si>
  <si>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</si>
  <si>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</si>
  <si>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</si>
  <si>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</si>
  <si>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</si>
  <si>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</si>
  <si>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</si>
  <si>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</si>
  <si>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</si>
  <si>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</si>
  <si>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</si>
  <si>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</si>
  <si>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</si>
  <si>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</si>
  <si>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</si>
  <si>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</si>
  <si>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</si>
  <si>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</si>
  <si>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</si>
  <si>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</si>
  <si>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</si>
  <si>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</si>
  <si>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</si>
  <si>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</si>
  <si>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</si>
  <si>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 M</t>
  </si>
  <si>
    <t>BMI</t>
  </si>
  <si>
    <t>Chonk?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</si>
</sst>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topLeftCell="A44" workbookViewId="0">
      <selection activeCell="F2" sqref="F2:F88"/>
    </sheetView>
  </sheetViews>
  <sheetFormatPr defaultColWidth="11" defaultRowHeight="15.75" x14ac:dyDescent="0.25"/>
  <cols>
    <col min="1" max="1" width="18.375" bestFit="1" customWidth="1"/>
    <col min="2" max="3" width="11.125" customWidth="1"/>
    <col min="4" max="6" width="9.25" customWidth="1"/>
    <col min="12" max="12" width="12.5" bestFit="1" customWidth="1"/>
    <col min="13" max="13" width="125.25" bestFit="1" customWidth="1"/>
  </cols>
  <sheetData>
    <row r="1" spans="1:13" x14ac:dyDescent="0.25">
      <c r="A1" t="s">
        <v>0</v>
      </c>
      <c r="B1" t="s">
        <v>1</v>
      </c>
      <c r="C1" t="s">
        <v>264</v>
      </c>
      <c r="D1" t="s">
        <v>2</v>
      </c>
      <c r="E1" t="s">
        <v>265</v>
      </c>
      <c r="F1" t="s">
        <v>266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 t="s">
        <v>10</v>
      </c>
      <c r="B2">
        <v>172</v>
      </c>
      <c r="C2">
        <f>B2/100</f>
        <v>1.72</v>
      </c>
      <c r="D2">
        <v>77</v>
      </c>
      <c r="E2">
        <f>D2/(C2^2)</f>
        <v>26.027582477014604</v>
      </c>
      <c r="F2" t="str">
        <f>IF(E2&gt;$D$5, "Jumbo Jedi", "Svelte Sith")</f>
        <v>Svelte Sith</v>
      </c>
      <c r="G2" t="s">
        <v>11</v>
      </c>
      <c r="H2" t="s">
        <v>12</v>
      </c>
      <c r="I2" t="s">
        <v>13</v>
      </c>
      <c r="J2">
        <v>19</v>
      </c>
      <c r="K2" t="s">
        <v>14</v>
      </c>
      <c r="L2" t="s">
        <v>15</v>
      </c>
      <c r="M2" t="s">
        <v>16</v>
      </c>
    </row>
    <row r="3" spans="1:13" x14ac:dyDescent="0.25">
      <c r="A3" t="s">
        <v>17</v>
      </c>
      <c r="B3">
        <v>167</v>
      </c>
      <c r="C3">
        <f t="shared" ref="C3:C66" si="0">B3/100</f>
        <v>1.67</v>
      </c>
      <c r="D3">
        <v>75</v>
      </c>
      <c r="E3">
        <f t="shared" ref="E3:E66" si="1">D3/(C3^2)</f>
        <v>26.892323138154829</v>
      </c>
      <c r="F3" t="str">
        <f t="shared" ref="F3:F66" si="2">IF(E3&gt;$D$5, "Jumbo Jedi", "Svelte Sith")</f>
        <v>Svelte Sith</v>
      </c>
      <c r="G3" t="s">
        <v>18</v>
      </c>
      <c r="H3" t="s">
        <v>19</v>
      </c>
      <c r="I3" t="s">
        <v>20</v>
      </c>
      <c r="J3">
        <v>112</v>
      </c>
      <c r="K3" t="s">
        <v>14</v>
      </c>
      <c r="L3" t="s">
        <v>21</v>
      </c>
      <c r="M3" t="s">
        <v>22</v>
      </c>
    </row>
    <row r="4" spans="1:13" x14ac:dyDescent="0.25">
      <c r="A4" t="s">
        <v>23</v>
      </c>
      <c r="B4">
        <v>96</v>
      </c>
      <c r="C4">
        <f t="shared" si="0"/>
        <v>0.96</v>
      </c>
      <c r="D4">
        <v>32</v>
      </c>
      <c r="E4">
        <f t="shared" si="1"/>
        <v>34.722222222222221</v>
      </c>
      <c r="F4" t="str">
        <f t="shared" si="2"/>
        <v>Svelte Sith</v>
      </c>
      <c r="G4" t="s">
        <v>18</v>
      </c>
      <c r="H4" t="s">
        <v>24</v>
      </c>
      <c r="I4" t="s">
        <v>25</v>
      </c>
      <c r="J4">
        <v>33</v>
      </c>
      <c r="K4" t="s">
        <v>26</v>
      </c>
      <c r="L4" t="s">
        <v>21</v>
      </c>
      <c r="M4" t="s">
        <v>27</v>
      </c>
    </row>
    <row r="5" spans="1:13" x14ac:dyDescent="0.25">
      <c r="A5" t="s">
        <v>28</v>
      </c>
      <c r="B5">
        <v>202</v>
      </c>
      <c r="C5">
        <f t="shared" si="0"/>
        <v>2.02</v>
      </c>
      <c r="D5">
        <v>136</v>
      </c>
      <c r="E5">
        <f t="shared" si="1"/>
        <v>33.330065679835307</v>
      </c>
      <c r="F5" t="str">
        <f t="shared" si="2"/>
        <v>Svelte Sith</v>
      </c>
      <c r="G5" t="s">
        <v>29</v>
      </c>
      <c r="H5" t="s">
        <v>30</v>
      </c>
      <c r="I5" t="s">
        <v>20</v>
      </c>
      <c r="J5">
        <v>41.9</v>
      </c>
      <c r="K5" t="s">
        <v>14</v>
      </c>
      <c r="L5" t="s">
        <v>15</v>
      </c>
      <c r="M5" t="s">
        <v>31</v>
      </c>
    </row>
    <row r="6" spans="1:13" x14ac:dyDescent="0.25">
      <c r="A6" t="s">
        <v>32</v>
      </c>
      <c r="B6">
        <v>150</v>
      </c>
      <c r="C6">
        <f t="shared" si="0"/>
        <v>1.5</v>
      </c>
      <c r="D6">
        <v>49</v>
      </c>
      <c r="E6">
        <f t="shared" si="1"/>
        <v>21.777777777777779</v>
      </c>
      <c r="F6" t="str">
        <f t="shared" si="2"/>
        <v>Svelte Sith</v>
      </c>
      <c r="G6" t="s">
        <v>33</v>
      </c>
      <c r="H6" t="s">
        <v>34</v>
      </c>
      <c r="I6" t="s">
        <v>33</v>
      </c>
      <c r="J6">
        <v>19</v>
      </c>
      <c r="K6" t="s">
        <v>35</v>
      </c>
      <c r="L6" t="s">
        <v>15</v>
      </c>
      <c r="M6" t="s">
        <v>36</v>
      </c>
    </row>
    <row r="7" spans="1:13" x14ac:dyDescent="0.25">
      <c r="A7" t="s">
        <v>37</v>
      </c>
      <c r="B7">
        <v>178</v>
      </c>
      <c r="C7">
        <f t="shared" si="0"/>
        <v>1.78</v>
      </c>
      <c r="D7">
        <v>120</v>
      </c>
      <c r="E7">
        <f t="shared" si="1"/>
        <v>37.874005807347558</v>
      </c>
      <c r="F7" t="str">
        <f t="shared" si="2"/>
        <v>Svelte Sith</v>
      </c>
      <c r="G7" t="s">
        <v>38</v>
      </c>
      <c r="H7" t="s">
        <v>34</v>
      </c>
      <c r="I7" t="s">
        <v>13</v>
      </c>
      <c r="J7">
        <v>52</v>
      </c>
      <c r="K7" t="s">
        <v>14</v>
      </c>
      <c r="L7" t="s">
        <v>15</v>
      </c>
      <c r="M7" t="s">
        <v>39</v>
      </c>
    </row>
    <row r="8" spans="1:13" x14ac:dyDescent="0.25">
      <c r="A8" t="s">
        <v>40</v>
      </c>
      <c r="B8">
        <v>165</v>
      </c>
      <c r="C8">
        <f t="shared" si="0"/>
        <v>1.65</v>
      </c>
      <c r="D8">
        <v>75</v>
      </c>
      <c r="E8">
        <f t="shared" si="1"/>
        <v>27.548209366391188</v>
      </c>
      <c r="F8" t="str">
        <f t="shared" si="2"/>
        <v>Svelte Sith</v>
      </c>
      <c r="G8" t="s">
        <v>33</v>
      </c>
      <c r="H8" t="s">
        <v>34</v>
      </c>
      <c r="I8" t="s">
        <v>13</v>
      </c>
      <c r="J8">
        <v>47</v>
      </c>
      <c r="K8" t="s">
        <v>14</v>
      </c>
      <c r="L8" t="s">
        <v>15</v>
      </c>
      <c r="M8" t="s">
        <v>39</v>
      </c>
    </row>
    <row r="9" spans="1:13" x14ac:dyDescent="0.25">
      <c r="A9" t="s">
        <v>41</v>
      </c>
      <c r="B9">
        <v>97</v>
      </c>
      <c r="C9">
        <f t="shared" si="0"/>
        <v>0.97</v>
      </c>
      <c r="D9">
        <v>32</v>
      </c>
      <c r="E9">
        <f t="shared" si="1"/>
        <v>34.009990434690195</v>
      </c>
      <c r="F9" t="str">
        <f t="shared" si="2"/>
        <v>Svelte Sith</v>
      </c>
      <c r="G9" t="s">
        <v>18</v>
      </c>
      <c r="H9" t="s">
        <v>42</v>
      </c>
      <c r="I9" t="s">
        <v>25</v>
      </c>
      <c r="J9" t="s">
        <v>18</v>
      </c>
      <c r="K9" t="s">
        <v>14</v>
      </c>
      <c r="L9" t="s">
        <v>21</v>
      </c>
      <c r="M9" t="s">
        <v>43</v>
      </c>
    </row>
    <row r="10" spans="1:13" x14ac:dyDescent="0.25">
      <c r="A10" t="s">
        <v>44</v>
      </c>
      <c r="B10">
        <v>183</v>
      </c>
      <c r="C10">
        <f t="shared" si="0"/>
        <v>1.83</v>
      </c>
      <c r="D10">
        <v>84</v>
      </c>
      <c r="E10">
        <f t="shared" si="1"/>
        <v>25.082863029651524</v>
      </c>
      <c r="F10" t="str">
        <f t="shared" si="2"/>
        <v>Svelte Sith</v>
      </c>
      <c r="G10" t="s">
        <v>45</v>
      </c>
      <c r="H10" t="s">
        <v>34</v>
      </c>
      <c r="I10" t="s">
        <v>33</v>
      </c>
      <c r="J10">
        <v>24</v>
      </c>
      <c r="K10" t="s">
        <v>14</v>
      </c>
      <c r="L10" t="s">
        <v>15</v>
      </c>
      <c r="M10" t="s">
        <v>43</v>
      </c>
    </row>
    <row r="11" spans="1:13" x14ac:dyDescent="0.25">
      <c r="A11" t="s">
        <v>46</v>
      </c>
      <c r="B11">
        <v>182</v>
      </c>
      <c r="C11">
        <f t="shared" si="0"/>
        <v>1.82</v>
      </c>
      <c r="D11">
        <v>77</v>
      </c>
      <c r="E11">
        <f t="shared" si="1"/>
        <v>23.245984784446321</v>
      </c>
      <c r="F11" t="str">
        <f t="shared" si="2"/>
        <v>Svelte Sith</v>
      </c>
      <c r="G11" t="s">
        <v>47</v>
      </c>
      <c r="H11" t="s">
        <v>12</v>
      </c>
      <c r="I11" t="s">
        <v>48</v>
      </c>
      <c r="J11">
        <v>57</v>
      </c>
      <c r="K11" t="s">
        <v>49</v>
      </c>
      <c r="L11" t="s">
        <v>15</v>
      </c>
      <c r="M11" t="s">
        <v>22</v>
      </c>
    </row>
    <row r="12" spans="1:13" x14ac:dyDescent="0.25">
      <c r="A12" t="s">
        <v>50</v>
      </c>
      <c r="B12">
        <v>188</v>
      </c>
      <c r="C12">
        <f t="shared" si="0"/>
        <v>1.88</v>
      </c>
      <c r="D12">
        <v>84</v>
      </c>
      <c r="E12">
        <f t="shared" si="1"/>
        <v>23.766410140334994</v>
      </c>
      <c r="F12" t="str">
        <f t="shared" si="2"/>
        <v>Svelte Sith</v>
      </c>
      <c r="G12" t="s">
        <v>11</v>
      </c>
      <c r="H12" t="s">
        <v>12</v>
      </c>
      <c r="I12" t="s">
        <v>13</v>
      </c>
      <c r="J12">
        <v>41.9</v>
      </c>
      <c r="K12" t="s">
        <v>14</v>
      </c>
      <c r="L12" t="s">
        <v>15</v>
      </c>
      <c r="M12" t="s">
        <v>51</v>
      </c>
    </row>
    <row r="13" spans="1:13" x14ac:dyDescent="0.25">
      <c r="A13" t="s">
        <v>52</v>
      </c>
      <c r="B13">
        <v>180</v>
      </c>
      <c r="C13">
        <f t="shared" si="0"/>
        <v>1.8</v>
      </c>
      <c r="D13" t="s">
        <v>18</v>
      </c>
      <c r="E13" t="e">
        <f t="shared" si="1"/>
        <v>#VALUE!</v>
      </c>
      <c r="F13" t="e">
        <f t="shared" si="2"/>
        <v>#VALUE!</v>
      </c>
      <c r="G13" t="s">
        <v>53</v>
      </c>
      <c r="H13" t="s">
        <v>12</v>
      </c>
      <c r="I13" t="s">
        <v>13</v>
      </c>
      <c r="J13">
        <v>64</v>
      </c>
      <c r="K13" t="s">
        <v>54</v>
      </c>
      <c r="L13" t="s">
        <v>15</v>
      </c>
      <c r="M13" t="s">
        <v>55</v>
      </c>
    </row>
    <row r="14" spans="1:13" x14ac:dyDescent="0.25">
      <c r="A14" t="s">
        <v>56</v>
      </c>
      <c r="B14">
        <v>228</v>
      </c>
      <c r="C14">
        <f t="shared" si="0"/>
        <v>2.2799999999999998</v>
      </c>
      <c r="D14">
        <v>112</v>
      </c>
      <c r="E14">
        <f t="shared" si="1"/>
        <v>21.545090797168363</v>
      </c>
      <c r="F14" t="str">
        <f t="shared" si="2"/>
        <v>Svelte Sith</v>
      </c>
      <c r="G14" t="s">
        <v>33</v>
      </c>
      <c r="H14" t="s">
        <v>57</v>
      </c>
      <c r="I14" t="s">
        <v>13</v>
      </c>
      <c r="J14">
        <v>200</v>
      </c>
      <c r="K14" t="s">
        <v>58</v>
      </c>
      <c r="L14" t="s">
        <v>59</v>
      </c>
      <c r="M14" t="s">
        <v>36</v>
      </c>
    </row>
    <row r="15" spans="1:13" x14ac:dyDescent="0.25">
      <c r="A15" t="s">
        <v>60</v>
      </c>
      <c r="B15">
        <v>180</v>
      </c>
      <c r="C15">
        <f t="shared" si="0"/>
        <v>1.8</v>
      </c>
      <c r="D15">
        <v>80</v>
      </c>
      <c r="E15">
        <f t="shared" si="1"/>
        <v>24.691358024691358</v>
      </c>
      <c r="F15" t="str">
        <f t="shared" si="2"/>
        <v>Svelte Sith</v>
      </c>
      <c r="G15" t="s">
        <v>33</v>
      </c>
      <c r="H15" t="s">
        <v>12</v>
      </c>
      <c r="I15" t="s">
        <v>33</v>
      </c>
      <c r="J15">
        <v>29</v>
      </c>
      <c r="K15" t="s">
        <v>61</v>
      </c>
      <c r="L15" t="s">
        <v>15</v>
      </c>
      <c r="M15" t="s">
        <v>62</v>
      </c>
    </row>
    <row r="16" spans="1:13" x14ac:dyDescent="0.25">
      <c r="A16" t="s">
        <v>63</v>
      </c>
      <c r="B16">
        <v>173</v>
      </c>
      <c r="C16">
        <f t="shared" si="0"/>
        <v>1.73</v>
      </c>
      <c r="D16">
        <v>74</v>
      </c>
      <c r="E16">
        <f t="shared" si="1"/>
        <v>24.725182932941294</v>
      </c>
      <c r="F16" t="str">
        <f t="shared" si="2"/>
        <v>Svelte Sith</v>
      </c>
      <c r="G16" t="s">
        <v>18</v>
      </c>
      <c r="H16" t="s">
        <v>64</v>
      </c>
      <c r="I16" t="s">
        <v>45</v>
      </c>
      <c r="J16">
        <v>44</v>
      </c>
      <c r="K16" t="s">
        <v>65</v>
      </c>
      <c r="L16" t="s">
        <v>66</v>
      </c>
      <c r="M16" t="s">
        <v>43</v>
      </c>
    </row>
    <row r="17" spans="1:13" x14ac:dyDescent="0.25">
      <c r="A17" t="s">
        <v>67</v>
      </c>
      <c r="B17">
        <v>175</v>
      </c>
      <c r="C17">
        <f t="shared" si="0"/>
        <v>1.75</v>
      </c>
      <c r="D17">
        <v>1358</v>
      </c>
      <c r="E17">
        <f t="shared" si="1"/>
        <v>443.42857142857144</v>
      </c>
      <c r="F17" t="str">
        <f t="shared" si="2"/>
        <v>Jumbo Jedi</v>
      </c>
      <c r="G17" t="s">
        <v>18</v>
      </c>
      <c r="H17" t="s">
        <v>68</v>
      </c>
      <c r="I17" t="s">
        <v>69</v>
      </c>
      <c r="J17">
        <v>600</v>
      </c>
      <c r="K17" t="s">
        <v>70</v>
      </c>
      <c r="L17" t="s">
        <v>71</v>
      </c>
      <c r="M17" t="s">
        <v>72</v>
      </c>
    </row>
    <row r="18" spans="1:13" x14ac:dyDescent="0.25">
      <c r="A18" t="s">
        <v>73</v>
      </c>
      <c r="B18">
        <v>170</v>
      </c>
      <c r="C18">
        <f t="shared" si="0"/>
        <v>1.7</v>
      </c>
      <c r="D18">
        <v>77</v>
      </c>
      <c r="E18">
        <f t="shared" si="1"/>
        <v>26.643598615916957</v>
      </c>
      <c r="F18" t="str">
        <f t="shared" si="2"/>
        <v>Svelte Sith</v>
      </c>
      <c r="G18" t="s">
        <v>33</v>
      </c>
      <c r="H18" t="s">
        <v>12</v>
      </c>
      <c r="I18" t="s">
        <v>74</v>
      </c>
      <c r="J18">
        <v>21</v>
      </c>
      <c r="K18" t="s">
        <v>61</v>
      </c>
      <c r="L18" t="s">
        <v>15</v>
      </c>
      <c r="M18" t="s">
        <v>75</v>
      </c>
    </row>
    <row r="19" spans="1:13" x14ac:dyDescent="0.25">
      <c r="A19" t="s">
        <v>76</v>
      </c>
      <c r="B19">
        <v>180</v>
      </c>
      <c r="C19">
        <f t="shared" si="0"/>
        <v>1.8</v>
      </c>
      <c r="D19">
        <v>110</v>
      </c>
      <c r="E19">
        <f t="shared" si="1"/>
        <v>33.950617283950614</v>
      </c>
      <c r="F19" t="str">
        <f t="shared" si="2"/>
        <v>Svelte Sith</v>
      </c>
      <c r="G19" t="s">
        <v>33</v>
      </c>
      <c r="H19" t="s">
        <v>12</v>
      </c>
      <c r="I19" t="s">
        <v>13</v>
      </c>
      <c r="J19" t="s">
        <v>18</v>
      </c>
      <c r="K19" t="s">
        <v>77</v>
      </c>
      <c r="L19" t="s">
        <v>15</v>
      </c>
      <c r="M19" t="s">
        <v>43</v>
      </c>
    </row>
    <row r="20" spans="1:13" x14ac:dyDescent="0.25">
      <c r="A20" t="s">
        <v>78</v>
      </c>
      <c r="B20">
        <v>66</v>
      </c>
      <c r="C20">
        <f t="shared" si="0"/>
        <v>0.66</v>
      </c>
      <c r="D20">
        <v>17</v>
      </c>
      <c r="E20">
        <f t="shared" si="1"/>
        <v>39.026629935720841</v>
      </c>
      <c r="F20" t="str">
        <f t="shared" si="2"/>
        <v>Svelte Sith</v>
      </c>
      <c r="G20" t="s">
        <v>30</v>
      </c>
      <c r="H20" t="s">
        <v>64</v>
      </c>
      <c r="I20" t="s">
        <v>33</v>
      </c>
      <c r="J20">
        <v>896</v>
      </c>
      <c r="K20" t="s">
        <v>18</v>
      </c>
      <c r="L20" t="s">
        <v>79</v>
      </c>
      <c r="M20" t="s">
        <v>80</v>
      </c>
    </row>
    <row r="21" spans="1:13" x14ac:dyDescent="0.25">
      <c r="A21" t="s">
        <v>81</v>
      </c>
      <c r="B21">
        <v>170</v>
      </c>
      <c r="C21">
        <f t="shared" si="0"/>
        <v>1.7</v>
      </c>
      <c r="D21">
        <v>75</v>
      </c>
      <c r="E21">
        <f t="shared" si="1"/>
        <v>25.95155709342561</v>
      </c>
      <c r="F21" t="str">
        <f t="shared" si="2"/>
        <v>Svelte Sith</v>
      </c>
      <c r="G21" t="s">
        <v>82</v>
      </c>
      <c r="H21" t="s">
        <v>83</v>
      </c>
      <c r="I21" t="s">
        <v>20</v>
      </c>
      <c r="J21">
        <v>82</v>
      </c>
      <c r="K21" t="s">
        <v>26</v>
      </c>
      <c r="L21" t="s">
        <v>15</v>
      </c>
      <c r="M21" t="s">
        <v>84</v>
      </c>
    </row>
    <row r="22" spans="1:13" x14ac:dyDescent="0.25">
      <c r="A22" t="s">
        <v>85</v>
      </c>
      <c r="B22">
        <v>183</v>
      </c>
      <c r="C22">
        <f t="shared" si="0"/>
        <v>1.83</v>
      </c>
      <c r="D22">
        <v>78.2</v>
      </c>
      <c r="E22">
        <f t="shared" si="1"/>
        <v>23.350951058556539</v>
      </c>
      <c r="F22" t="str">
        <f t="shared" si="2"/>
        <v>Svelte Sith</v>
      </c>
      <c r="G22" t="s">
        <v>45</v>
      </c>
      <c r="H22" t="s">
        <v>12</v>
      </c>
      <c r="I22" t="s">
        <v>33</v>
      </c>
      <c r="J22">
        <v>31.5</v>
      </c>
      <c r="K22" t="s">
        <v>86</v>
      </c>
      <c r="L22" t="s">
        <v>15</v>
      </c>
      <c r="M22" t="s">
        <v>87</v>
      </c>
    </row>
    <row r="23" spans="1:13" x14ac:dyDescent="0.25">
      <c r="A23" t="s">
        <v>88</v>
      </c>
      <c r="B23">
        <v>200</v>
      </c>
      <c r="C23">
        <f t="shared" si="0"/>
        <v>2</v>
      </c>
      <c r="D23">
        <v>140</v>
      </c>
      <c r="E23">
        <f t="shared" si="1"/>
        <v>35</v>
      </c>
      <c r="F23" t="str">
        <f t="shared" si="2"/>
        <v>Svelte Sith</v>
      </c>
      <c r="G23" t="s">
        <v>29</v>
      </c>
      <c r="H23" t="s">
        <v>89</v>
      </c>
      <c r="I23" t="s">
        <v>25</v>
      </c>
      <c r="J23">
        <v>15</v>
      </c>
      <c r="K23" t="s">
        <v>18</v>
      </c>
      <c r="L23" t="s">
        <v>21</v>
      </c>
      <c r="M23" t="s">
        <v>90</v>
      </c>
    </row>
    <row r="24" spans="1:13" x14ac:dyDescent="0.25">
      <c r="A24" t="s">
        <v>91</v>
      </c>
      <c r="B24">
        <v>190</v>
      </c>
      <c r="C24">
        <f t="shared" si="0"/>
        <v>1.9</v>
      </c>
      <c r="D24">
        <v>113</v>
      </c>
      <c r="E24">
        <f t="shared" si="1"/>
        <v>31.301939058171747</v>
      </c>
      <c r="F24" t="str">
        <f t="shared" si="2"/>
        <v>Svelte Sith</v>
      </c>
      <c r="G24" t="s">
        <v>29</v>
      </c>
      <c r="H24" t="s">
        <v>64</v>
      </c>
      <c r="I24" t="s">
        <v>25</v>
      </c>
      <c r="J24">
        <v>53</v>
      </c>
      <c r="K24" t="s">
        <v>92</v>
      </c>
      <c r="L24" t="s">
        <v>93</v>
      </c>
      <c r="M24" t="s">
        <v>90</v>
      </c>
    </row>
    <row r="25" spans="1:13" x14ac:dyDescent="0.25">
      <c r="A25" t="s">
        <v>94</v>
      </c>
      <c r="B25">
        <v>177</v>
      </c>
      <c r="C25">
        <f t="shared" si="0"/>
        <v>1.77</v>
      </c>
      <c r="D25">
        <v>79</v>
      </c>
      <c r="E25">
        <f t="shared" si="1"/>
        <v>25.216253311628201</v>
      </c>
      <c r="F25" t="str">
        <f t="shared" si="2"/>
        <v>Svelte Sith</v>
      </c>
      <c r="G25" t="s">
        <v>45</v>
      </c>
      <c r="H25" t="s">
        <v>95</v>
      </c>
      <c r="I25" t="s">
        <v>33</v>
      </c>
      <c r="J25">
        <v>31</v>
      </c>
      <c r="K25" t="s">
        <v>96</v>
      </c>
      <c r="L25" t="s">
        <v>15</v>
      </c>
      <c r="M25" t="s">
        <v>97</v>
      </c>
    </row>
    <row r="26" spans="1:13" x14ac:dyDescent="0.25">
      <c r="A26" t="s">
        <v>98</v>
      </c>
      <c r="B26">
        <v>175</v>
      </c>
      <c r="C26">
        <f t="shared" si="0"/>
        <v>1.75</v>
      </c>
      <c r="D26">
        <v>79</v>
      </c>
      <c r="E26">
        <f t="shared" si="1"/>
        <v>25.795918367346939</v>
      </c>
      <c r="F26" t="str">
        <f t="shared" si="2"/>
        <v>Svelte Sith</v>
      </c>
      <c r="G26" t="s">
        <v>29</v>
      </c>
      <c r="H26" t="s">
        <v>34</v>
      </c>
      <c r="I26" t="s">
        <v>13</v>
      </c>
      <c r="J26">
        <v>37</v>
      </c>
      <c r="K26" t="s">
        <v>99</v>
      </c>
      <c r="L26" t="s">
        <v>15</v>
      </c>
      <c r="M26" t="s">
        <v>90</v>
      </c>
    </row>
    <row r="27" spans="1:13" x14ac:dyDescent="0.25">
      <c r="A27" t="s">
        <v>100</v>
      </c>
      <c r="B27">
        <v>180</v>
      </c>
      <c r="C27">
        <f t="shared" si="0"/>
        <v>1.8</v>
      </c>
      <c r="D27">
        <v>83</v>
      </c>
      <c r="E27">
        <f t="shared" si="1"/>
        <v>25.617283950617281</v>
      </c>
      <c r="F27" t="str">
        <f t="shared" si="2"/>
        <v>Svelte Sith</v>
      </c>
      <c r="G27" t="s">
        <v>29</v>
      </c>
      <c r="H27" t="s">
        <v>101</v>
      </c>
      <c r="I27" t="s">
        <v>69</v>
      </c>
      <c r="J27">
        <v>41</v>
      </c>
      <c r="K27" t="s">
        <v>102</v>
      </c>
      <c r="L27" t="s">
        <v>103</v>
      </c>
      <c r="M27" t="s">
        <v>104</v>
      </c>
    </row>
    <row r="28" spans="1:13" x14ac:dyDescent="0.25">
      <c r="A28" t="s">
        <v>105</v>
      </c>
      <c r="B28">
        <v>150</v>
      </c>
      <c r="C28">
        <f t="shared" si="0"/>
        <v>1.5</v>
      </c>
      <c r="D28" t="s">
        <v>18</v>
      </c>
      <c r="E28" t="e">
        <f t="shared" si="1"/>
        <v>#VALUE!</v>
      </c>
      <c r="F28" t="e">
        <f t="shared" si="2"/>
        <v>#VALUE!</v>
      </c>
      <c r="G28" t="s">
        <v>106</v>
      </c>
      <c r="H28" t="s">
        <v>12</v>
      </c>
      <c r="I28" t="s">
        <v>13</v>
      </c>
      <c r="J28">
        <v>48</v>
      </c>
      <c r="K28" t="s">
        <v>107</v>
      </c>
      <c r="L28" t="s">
        <v>15</v>
      </c>
      <c r="M28" t="s">
        <v>108</v>
      </c>
    </row>
    <row r="29" spans="1:13" x14ac:dyDescent="0.25">
      <c r="A29" t="s">
        <v>109</v>
      </c>
      <c r="B29" t="s">
        <v>18</v>
      </c>
      <c r="C29" t="e">
        <f t="shared" si="0"/>
        <v>#VALUE!</v>
      </c>
      <c r="D29" t="s">
        <v>18</v>
      </c>
      <c r="E29" t="e">
        <f t="shared" si="1"/>
        <v>#VALUE!</v>
      </c>
      <c r="F29" t="e">
        <f t="shared" si="2"/>
        <v>#VALUE!</v>
      </c>
      <c r="G29" t="s">
        <v>33</v>
      </c>
      <c r="H29" t="s">
        <v>12</v>
      </c>
      <c r="I29" t="s">
        <v>33</v>
      </c>
      <c r="J29" t="s">
        <v>18</v>
      </c>
      <c r="K29" t="s">
        <v>18</v>
      </c>
      <c r="L29" t="s">
        <v>15</v>
      </c>
      <c r="M29" t="s">
        <v>108</v>
      </c>
    </row>
    <row r="30" spans="1:13" x14ac:dyDescent="0.25">
      <c r="A30" t="s">
        <v>110</v>
      </c>
      <c r="B30">
        <v>88</v>
      </c>
      <c r="C30">
        <f t="shared" si="0"/>
        <v>0.88</v>
      </c>
      <c r="D30">
        <v>20</v>
      </c>
      <c r="E30">
        <f t="shared" si="1"/>
        <v>25.826446280991735</v>
      </c>
      <c r="F30" t="str">
        <f t="shared" si="2"/>
        <v>Svelte Sith</v>
      </c>
      <c r="G30" t="s">
        <v>33</v>
      </c>
      <c r="H30" t="s">
        <v>33</v>
      </c>
      <c r="I30" t="s">
        <v>33</v>
      </c>
      <c r="J30">
        <v>8</v>
      </c>
      <c r="K30" t="s">
        <v>111</v>
      </c>
      <c r="L30" t="s">
        <v>112</v>
      </c>
      <c r="M30" t="s">
        <v>108</v>
      </c>
    </row>
    <row r="31" spans="1:13" x14ac:dyDescent="0.25">
      <c r="A31" t="s">
        <v>113</v>
      </c>
      <c r="B31">
        <v>160</v>
      </c>
      <c r="C31">
        <f t="shared" si="0"/>
        <v>1.6</v>
      </c>
      <c r="D31">
        <v>68</v>
      </c>
      <c r="E31">
        <f t="shared" si="1"/>
        <v>26.562499999999996</v>
      </c>
      <c r="F31" t="str">
        <f t="shared" si="2"/>
        <v>Svelte Sith</v>
      </c>
      <c r="G31" t="s">
        <v>29</v>
      </c>
      <c r="H31" t="s">
        <v>82</v>
      </c>
      <c r="I31" t="s">
        <v>45</v>
      </c>
      <c r="J31" t="s">
        <v>18</v>
      </c>
      <c r="K31" t="s">
        <v>114</v>
      </c>
      <c r="L31" t="s">
        <v>115</v>
      </c>
      <c r="M31" t="s">
        <v>108</v>
      </c>
    </row>
    <row r="32" spans="1:13" x14ac:dyDescent="0.25">
      <c r="A32" t="s">
        <v>116</v>
      </c>
      <c r="B32">
        <v>193</v>
      </c>
      <c r="C32">
        <f t="shared" si="0"/>
        <v>1.93</v>
      </c>
      <c r="D32">
        <v>89</v>
      </c>
      <c r="E32">
        <f t="shared" si="1"/>
        <v>23.893258879433006</v>
      </c>
      <c r="F32" t="str">
        <f t="shared" si="2"/>
        <v>Svelte Sith</v>
      </c>
      <c r="G32" t="s">
        <v>33</v>
      </c>
      <c r="H32" t="s">
        <v>12</v>
      </c>
      <c r="I32" t="s">
        <v>13</v>
      </c>
      <c r="J32">
        <v>92</v>
      </c>
      <c r="K32" t="s">
        <v>18</v>
      </c>
      <c r="L32" t="s">
        <v>15</v>
      </c>
      <c r="M32" t="s">
        <v>117</v>
      </c>
    </row>
    <row r="33" spans="1:13" x14ac:dyDescent="0.25">
      <c r="A33" t="s">
        <v>118</v>
      </c>
      <c r="B33">
        <v>191</v>
      </c>
      <c r="C33">
        <f t="shared" si="0"/>
        <v>1.91</v>
      </c>
      <c r="D33">
        <v>90</v>
      </c>
      <c r="E33">
        <f t="shared" si="1"/>
        <v>24.670376360297141</v>
      </c>
      <c r="F33" t="str">
        <f t="shared" si="2"/>
        <v>Svelte Sith</v>
      </c>
      <c r="G33" t="s">
        <v>29</v>
      </c>
      <c r="H33" t="s">
        <v>119</v>
      </c>
      <c r="I33" t="s">
        <v>25</v>
      </c>
      <c r="J33" t="s">
        <v>18</v>
      </c>
      <c r="K33" t="s">
        <v>120</v>
      </c>
      <c r="L33" t="s">
        <v>121</v>
      </c>
      <c r="M33" t="s">
        <v>51</v>
      </c>
    </row>
    <row r="34" spans="1:13" x14ac:dyDescent="0.25">
      <c r="A34" t="s">
        <v>122</v>
      </c>
      <c r="B34">
        <v>170</v>
      </c>
      <c r="C34">
        <f t="shared" si="0"/>
        <v>1.7</v>
      </c>
      <c r="D34" t="s">
        <v>18</v>
      </c>
      <c r="E34" t="e">
        <f t="shared" si="1"/>
        <v>#VALUE!</v>
      </c>
      <c r="F34" t="e">
        <f t="shared" si="2"/>
        <v>#VALUE!</v>
      </c>
      <c r="G34" t="s">
        <v>11</v>
      </c>
      <c r="H34" t="s">
        <v>12</v>
      </c>
      <c r="I34" t="s">
        <v>13</v>
      </c>
      <c r="J34">
        <v>91</v>
      </c>
      <c r="K34" t="s">
        <v>123</v>
      </c>
      <c r="L34" t="s">
        <v>15</v>
      </c>
      <c r="M34" t="s">
        <v>117</v>
      </c>
    </row>
    <row r="35" spans="1:13" x14ac:dyDescent="0.25">
      <c r="A35" t="s">
        <v>124</v>
      </c>
      <c r="B35">
        <v>196</v>
      </c>
      <c r="C35">
        <f t="shared" si="0"/>
        <v>1.96</v>
      </c>
      <c r="D35">
        <v>66</v>
      </c>
      <c r="E35">
        <f t="shared" si="1"/>
        <v>17.180341524364849</v>
      </c>
      <c r="F35" t="str">
        <f t="shared" si="2"/>
        <v>Svelte Sith</v>
      </c>
      <c r="G35" t="s">
        <v>29</v>
      </c>
      <c r="H35" t="s">
        <v>69</v>
      </c>
      <c r="I35" t="s">
        <v>69</v>
      </c>
      <c r="J35">
        <v>52</v>
      </c>
      <c r="K35" t="s">
        <v>26</v>
      </c>
      <c r="L35" t="s">
        <v>125</v>
      </c>
      <c r="M35" t="s">
        <v>126</v>
      </c>
    </row>
    <row r="36" spans="1:13" x14ac:dyDescent="0.25">
      <c r="A36" t="s">
        <v>127</v>
      </c>
      <c r="B36">
        <v>224</v>
      </c>
      <c r="C36">
        <f t="shared" si="0"/>
        <v>2.2400000000000002</v>
      </c>
      <c r="D36">
        <v>82</v>
      </c>
      <c r="E36">
        <f t="shared" si="1"/>
        <v>16.342474489795915</v>
      </c>
      <c r="F36" t="str">
        <f t="shared" si="2"/>
        <v>Svelte Sith</v>
      </c>
      <c r="G36" t="s">
        <v>29</v>
      </c>
      <c r="H36" t="s">
        <v>82</v>
      </c>
      <c r="I36" t="s">
        <v>69</v>
      </c>
      <c r="J36" t="s">
        <v>18</v>
      </c>
      <c r="K36" t="s">
        <v>26</v>
      </c>
      <c r="L36" t="s">
        <v>125</v>
      </c>
      <c r="M36" t="s">
        <v>117</v>
      </c>
    </row>
    <row r="37" spans="1:13" x14ac:dyDescent="0.25">
      <c r="A37" t="s">
        <v>128</v>
      </c>
      <c r="B37">
        <v>206</v>
      </c>
      <c r="C37">
        <f t="shared" si="0"/>
        <v>2.06</v>
      </c>
      <c r="D37" t="s">
        <v>18</v>
      </c>
      <c r="E37" t="e">
        <f t="shared" si="1"/>
        <v>#VALUE!</v>
      </c>
      <c r="F37" t="e">
        <f t="shared" si="2"/>
        <v>#VALUE!</v>
      </c>
      <c r="G37" t="s">
        <v>29</v>
      </c>
      <c r="H37" t="s">
        <v>64</v>
      </c>
      <c r="I37" t="s">
        <v>69</v>
      </c>
      <c r="J37" t="s">
        <v>18</v>
      </c>
      <c r="K37" t="s">
        <v>26</v>
      </c>
      <c r="L37" t="s">
        <v>125</v>
      </c>
      <c r="M37" t="s">
        <v>117</v>
      </c>
    </row>
    <row r="38" spans="1:13" x14ac:dyDescent="0.25">
      <c r="A38" t="s">
        <v>129</v>
      </c>
      <c r="B38">
        <v>183</v>
      </c>
      <c r="C38">
        <f t="shared" si="0"/>
        <v>1.83</v>
      </c>
      <c r="D38" t="s">
        <v>18</v>
      </c>
      <c r="E38" t="e">
        <f t="shared" si="1"/>
        <v>#VALUE!</v>
      </c>
      <c r="F38" t="e">
        <f t="shared" si="2"/>
        <v>#VALUE!</v>
      </c>
      <c r="G38" t="s">
        <v>33</v>
      </c>
      <c r="H38" t="s">
        <v>12</v>
      </c>
      <c r="I38" t="s">
        <v>13</v>
      </c>
      <c r="J38" t="s">
        <v>18</v>
      </c>
      <c r="K38" t="s">
        <v>26</v>
      </c>
      <c r="L38" t="s">
        <v>18</v>
      </c>
      <c r="M38" t="s">
        <v>117</v>
      </c>
    </row>
    <row r="39" spans="1:13" x14ac:dyDescent="0.25">
      <c r="A39" t="s">
        <v>130</v>
      </c>
      <c r="B39">
        <v>137</v>
      </c>
      <c r="C39">
        <f t="shared" si="0"/>
        <v>1.37</v>
      </c>
      <c r="D39" t="s">
        <v>18</v>
      </c>
      <c r="E39" t="e">
        <f t="shared" si="1"/>
        <v>#VALUE!</v>
      </c>
      <c r="F39" t="e">
        <f t="shared" si="2"/>
        <v>#VALUE!</v>
      </c>
      <c r="G39" t="s">
        <v>45</v>
      </c>
      <c r="H39" t="s">
        <v>131</v>
      </c>
      <c r="I39" t="s">
        <v>20</v>
      </c>
      <c r="J39" t="s">
        <v>18</v>
      </c>
      <c r="K39" t="s">
        <v>132</v>
      </c>
      <c r="L39" t="s">
        <v>133</v>
      </c>
      <c r="M39" t="s">
        <v>134</v>
      </c>
    </row>
    <row r="40" spans="1:13" x14ac:dyDescent="0.25">
      <c r="A40" t="s">
        <v>135</v>
      </c>
      <c r="B40">
        <v>112</v>
      </c>
      <c r="C40">
        <f t="shared" si="0"/>
        <v>1.1200000000000001</v>
      </c>
      <c r="D40">
        <v>40</v>
      </c>
      <c r="E40">
        <f t="shared" si="1"/>
        <v>31.887755102040813</v>
      </c>
      <c r="F40" t="str">
        <f t="shared" si="2"/>
        <v>Svelte Sith</v>
      </c>
      <c r="G40" t="s">
        <v>29</v>
      </c>
      <c r="H40" t="s">
        <v>136</v>
      </c>
      <c r="I40" t="s">
        <v>69</v>
      </c>
      <c r="J40" t="s">
        <v>18</v>
      </c>
      <c r="K40" t="s">
        <v>137</v>
      </c>
      <c r="L40" t="s">
        <v>138</v>
      </c>
      <c r="M40" t="s">
        <v>117</v>
      </c>
    </row>
    <row r="41" spans="1:13" x14ac:dyDescent="0.25">
      <c r="A41" t="s">
        <v>139</v>
      </c>
      <c r="B41">
        <v>183</v>
      </c>
      <c r="C41">
        <f t="shared" si="0"/>
        <v>1.83</v>
      </c>
      <c r="D41" t="s">
        <v>18</v>
      </c>
      <c r="E41" t="e">
        <f t="shared" si="1"/>
        <v>#VALUE!</v>
      </c>
      <c r="F41" t="e">
        <f t="shared" si="2"/>
        <v>#VALUE!</v>
      </c>
      <c r="G41" t="s">
        <v>45</v>
      </c>
      <c r="H41" t="s">
        <v>95</v>
      </c>
      <c r="I41" t="s">
        <v>33</v>
      </c>
      <c r="J41">
        <v>62</v>
      </c>
      <c r="K41" t="s">
        <v>26</v>
      </c>
      <c r="L41" t="s">
        <v>18</v>
      </c>
      <c r="M41" t="s">
        <v>117</v>
      </c>
    </row>
    <row r="42" spans="1:13" x14ac:dyDescent="0.25">
      <c r="A42" t="s">
        <v>140</v>
      </c>
      <c r="B42">
        <v>163</v>
      </c>
      <c r="C42">
        <f t="shared" si="0"/>
        <v>1.63</v>
      </c>
      <c r="D42" t="s">
        <v>18</v>
      </c>
      <c r="E42" t="e">
        <f t="shared" si="1"/>
        <v>#VALUE!</v>
      </c>
      <c r="F42" t="e">
        <f t="shared" si="2"/>
        <v>#VALUE!</v>
      </c>
      <c r="G42" t="s">
        <v>45</v>
      </c>
      <c r="H42" t="s">
        <v>12</v>
      </c>
      <c r="I42" t="s">
        <v>33</v>
      </c>
      <c r="J42">
        <v>72</v>
      </c>
      <c r="K42" t="s">
        <v>14</v>
      </c>
      <c r="L42" t="s">
        <v>15</v>
      </c>
      <c r="M42" t="s">
        <v>134</v>
      </c>
    </row>
    <row r="43" spans="1:13" x14ac:dyDescent="0.25">
      <c r="A43" t="s">
        <v>141</v>
      </c>
      <c r="B43">
        <v>175</v>
      </c>
      <c r="C43">
        <f t="shared" si="0"/>
        <v>1.75</v>
      </c>
      <c r="D43">
        <v>80</v>
      </c>
      <c r="E43">
        <f t="shared" si="1"/>
        <v>26.122448979591837</v>
      </c>
      <c r="F43" t="str">
        <f t="shared" si="2"/>
        <v>Svelte Sith</v>
      </c>
      <c r="G43" t="s">
        <v>29</v>
      </c>
      <c r="H43" t="s">
        <v>25</v>
      </c>
      <c r="I43" t="s">
        <v>20</v>
      </c>
      <c r="J43">
        <v>54</v>
      </c>
      <c r="K43" t="s">
        <v>142</v>
      </c>
      <c r="L43" t="s">
        <v>143</v>
      </c>
      <c r="M43" t="s">
        <v>117</v>
      </c>
    </row>
    <row r="44" spans="1:13" x14ac:dyDescent="0.25">
      <c r="A44" t="s">
        <v>144</v>
      </c>
      <c r="B44">
        <v>180</v>
      </c>
      <c r="C44">
        <f t="shared" si="0"/>
        <v>1.8</v>
      </c>
      <c r="D44" t="s">
        <v>18</v>
      </c>
      <c r="E44" t="e">
        <f t="shared" si="1"/>
        <v>#VALUE!</v>
      </c>
      <c r="F44" t="e">
        <f t="shared" si="2"/>
        <v>#VALUE!</v>
      </c>
      <c r="G44" t="s">
        <v>29</v>
      </c>
      <c r="H44" t="s">
        <v>83</v>
      </c>
      <c r="I44" t="s">
        <v>145</v>
      </c>
      <c r="J44" t="s">
        <v>18</v>
      </c>
      <c r="K44" t="s">
        <v>146</v>
      </c>
      <c r="L44" t="s">
        <v>147</v>
      </c>
      <c r="M44" t="s">
        <v>108</v>
      </c>
    </row>
    <row r="45" spans="1:13" x14ac:dyDescent="0.25">
      <c r="A45" t="s">
        <v>148</v>
      </c>
      <c r="B45">
        <v>178</v>
      </c>
      <c r="C45">
        <f t="shared" si="0"/>
        <v>1.78</v>
      </c>
      <c r="D45">
        <v>55</v>
      </c>
      <c r="E45">
        <f t="shared" si="1"/>
        <v>17.35891932836763</v>
      </c>
      <c r="F45" t="str">
        <f t="shared" si="2"/>
        <v>Svelte Sith</v>
      </c>
      <c r="G45" t="s">
        <v>29</v>
      </c>
      <c r="H45" t="s">
        <v>13</v>
      </c>
      <c r="I45" t="s">
        <v>74</v>
      </c>
      <c r="J45">
        <v>48</v>
      </c>
      <c r="K45" t="s">
        <v>146</v>
      </c>
      <c r="L45" t="s">
        <v>147</v>
      </c>
      <c r="M45" t="s">
        <v>149</v>
      </c>
    </row>
    <row r="46" spans="1:13" x14ac:dyDescent="0.25">
      <c r="A46" t="s">
        <v>150</v>
      </c>
      <c r="B46">
        <v>94</v>
      </c>
      <c r="C46">
        <f t="shared" si="0"/>
        <v>0.94</v>
      </c>
      <c r="D46">
        <v>45</v>
      </c>
      <c r="E46">
        <f t="shared" si="1"/>
        <v>50.928021729289277</v>
      </c>
      <c r="F46" t="str">
        <f t="shared" si="2"/>
        <v>Svelte Sith</v>
      </c>
      <c r="G46" t="s">
        <v>29</v>
      </c>
      <c r="H46" t="s">
        <v>131</v>
      </c>
      <c r="I46" t="s">
        <v>20</v>
      </c>
      <c r="J46" t="s">
        <v>18</v>
      </c>
      <c r="K46" t="s">
        <v>151</v>
      </c>
      <c r="L46" t="s">
        <v>152</v>
      </c>
      <c r="M46" t="s">
        <v>117</v>
      </c>
    </row>
    <row r="47" spans="1:13" x14ac:dyDescent="0.25">
      <c r="A47" t="s">
        <v>153</v>
      </c>
      <c r="B47">
        <v>122</v>
      </c>
      <c r="C47">
        <f t="shared" si="0"/>
        <v>1.22</v>
      </c>
      <c r="D47" t="s">
        <v>18</v>
      </c>
      <c r="E47" t="e">
        <f t="shared" si="1"/>
        <v>#VALUE!</v>
      </c>
      <c r="F47" t="e">
        <f t="shared" si="2"/>
        <v>#VALUE!</v>
      </c>
      <c r="G47" t="s">
        <v>29</v>
      </c>
      <c r="H47" t="s">
        <v>24</v>
      </c>
      <c r="I47" t="s">
        <v>45</v>
      </c>
      <c r="J47" t="s">
        <v>18</v>
      </c>
      <c r="K47" t="s">
        <v>154</v>
      </c>
      <c r="L47" t="s">
        <v>155</v>
      </c>
      <c r="M47" t="s">
        <v>117</v>
      </c>
    </row>
    <row r="48" spans="1:13" x14ac:dyDescent="0.25">
      <c r="A48" t="s">
        <v>156</v>
      </c>
      <c r="B48">
        <v>163</v>
      </c>
      <c r="C48">
        <f t="shared" si="0"/>
        <v>1.63</v>
      </c>
      <c r="D48">
        <v>65</v>
      </c>
      <c r="E48">
        <f t="shared" si="1"/>
        <v>24.464601603372351</v>
      </c>
      <c r="F48" t="str">
        <f t="shared" si="2"/>
        <v>Svelte Sith</v>
      </c>
      <c r="G48" t="s">
        <v>29</v>
      </c>
      <c r="H48" t="s">
        <v>157</v>
      </c>
      <c r="I48" t="s">
        <v>69</v>
      </c>
      <c r="J48" t="s">
        <v>18</v>
      </c>
      <c r="K48" t="s">
        <v>158</v>
      </c>
      <c r="L48" t="s">
        <v>159</v>
      </c>
      <c r="M48" t="s">
        <v>117</v>
      </c>
    </row>
    <row r="49" spans="1:13" x14ac:dyDescent="0.25">
      <c r="A49" t="s">
        <v>160</v>
      </c>
      <c r="B49">
        <v>188</v>
      </c>
      <c r="C49">
        <f t="shared" si="0"/>
        <v>1.88</v>
      </c>
      <c r="D49">
        <v>84</v>
      </c>
      <c r="E49">
        <f t="shared" si="1"/>
        <v>23.766410140334994</v>
      </c>
      <c r="F49" t="str">
        <f t="shared" si="2"/>
        <v>Svelte Sith</v>
      </c>
      <c r="G49" t="s">
        <v>29</v>
      </c>
      <c r="H49" t="s">
        <v>95</v>
      </c>
      <c r="I49" t="s">
        <v>33</v>
      </c>
      <c r="J49">
        <v>72</v>
      </c>
      <c r="K49" t="s">
        <v>161</v>
      </c>
      <c r="L49" t="s">
        <v>15</v>
      </c>
      <c r="M49" t="s">
        <v>51</v>
      </c>
    </row>
    <row r="50" spans="1:13" x14ac:dyDescent="0.25">
      <c r="A50" t="s">
        <v>162</v>
      </c>
      <c r="B50">
        <v>198</v>
      </c>
      <c r="C50">
        <f t="shared" si="0"/>
        <v>1.98</v>
      </c>
      <c r="D50">
        <v>82</v>
      </c>
      <c r="E50">
        <f t="shared" si="1"/>
        <v>20.91623303744516</v>
      </c>
      <c r="F50" t="str">
        <f t="shared" si="2"/>
        <v>Svelte Sith</v>
      </c>
      <c r="G50" t="s">
        <v>30</v>
      </c>
      <c r="H50" t="s">
        <v>83</v>
      </c>
      <c r="I50" t="s">
        <v>20</v>
      </c>
      <c r="J50">
        <v>92</v>
      </c>
      <c r="K50" t="s">
        <v>163</v>
      </c>
      <c r="L50" t="s">
        <v>164</v>
      </c>
      <c r="M50" t="s">
        <v>51</v>
      </c>
    </row>
    <row r="51" spans="1:13" x14ac:dyDescent="0.25">
      <c r="A51" t="s">
        <v>165</v>
      </c>
      <c r="B51">
        <v>196</v>
      </c>
      <c r="C51">
        <f t="shared" si="0"/>
        <v>1.96</v>
      </c>
      <c r="D51">
        <v>87</v>
      </c>
      <c r="E51">
        <f t="shared" si="1"/>
        <v>22.646813827571847</v>
      </c>
      <c r="F51" t="str">
        <f t="shared" si="2"/>
        <v>Svelte Sith</v>
      </c>
      <c r="G51" t="s">
        <v>29</v>
      </c>
      <c r="H51" t="s">
        <v>64</v>
      </c>
      <c r="I51" t="s">
        <v>45</v>
      </c>
      <c r="J51" t="s">
        <v>18</v>
      </c>
      <c r="K51" t="s">
        <v>166</v>
      </c>
      <c r="L51" t="s">
        <v>167</v>
      </c>
      <c r="M51" t="s">
        <v>51</v>
      </c>
    </row>
    <row r="52" spans="1:13" x14ac:dyDescent="0.25">
      <c r="A52" t="s">
        <v>168</v>
      </c>
      <c r="B52">
        <v>171</v>
      </c>
      <c r="C52">
        <f t="shared" si="0"/>
        <v>1.71</v>
      </c>
      <c r="D52" t="s">
        <v>18</v>
      </c>
      <c r="E52" t="e">
        <f t="shared" si="1"/>
        <v>#VALUE!</v>
      </c>
      <c r="F52" t="e">
        <f t="shared" si="2"/>
        <v>#VALUE!</v>
      </c>
      <c r="G52" t="s">
        <v>45</v>
      </c>
      <c r="H52" t="s">
        <v>33</v>
      </c>
      <c r="I52" t="s">
        <v>33</v>
      </c>
      <c r="J52" t="s">
        <v>18</v>
      </c>
      <c r="K52" t="s">
        <v>169</v>
      </c>
      <c r="L52" t="s">
        <v>143</v>
      </c>
      <c r="M52" t="s">
        <v>170</v>
      </c>
    </row>
    <row r="53" spans="1:13" x14ac:dyDescent="0.25">
      <c r="A53" t="s">
        <v>171</v>
      </c>
      <c r="B53">
        <v>184</v>
      </c>
      <c r="C53">
        <f t="shared" si="0"/>
        <v>1.84</v>
      </c>
      <c r="D53">
        <v>50</v>
      </c>
      <c r="E53">
        <f t="shared" si="1"/>
        <v>14.768431001890358</v>
      </c>
      <c r="F53" t="str">
        <f t="shared" si="2"/>
        <v>Svelte Sith</v>
      </c>
      <c r="G53" t="s">
        <v>29</v>
      </c>
      <c r="H53" t="s">
        <v>95</v>
      </c>
      <c r="I53" t="s">
        <v>13</v>
      </c>
      <c r="J53" t="s">
        <v>18</v>
      </c>
      <c r="K53" t="s">
        <v>123</v>
      </c>
      <c r="L53" t="s">
        <v>172</v>
      </c>
      <c r="M53" t="s">
        <v>170</v>
      </c>
    </row>
    <row r="54" spans="1:13" x14ac:dyDescent="0.25">
      <c r="A54" t="s">
        <v>173</v>
      </c>
      <c r="B54">
        <v>188</v>
      </c>
      <c r="C54">
        <f t="shared" si="0"/>
        <v>1.88</v>
      </c>
      <c r="D54" t="s">
        <v>18</v>
      </c>
      <c r="E54" t="e">
        <f t="shared" si="1"/>
        <v>#VALUE!</v>
      </c>
      <c r="F54" t="e">
        <f t="shared" si="2"/>
        <v>#VALUE!</v>
      </c>
      <c r="G54" t="s">
        <v>29</v>
      </c>
      <c r="H54" t="s">
        <v>83</v>
      </c>
      <c r="I54" t="s">
        <v>69</v>
      </c>
      <c r="J54" t="s">
        <v>18</v>
      </c>
      <c r="K54" t="s">
        <v>174</v>
      </c>
      <c r="L54" t="s">
        <v>175</v>
      </c>
      <c r="M54" t="s">
        <v>170</v>
      </c>
    </row>
    <row r="55" spans="1:13" x14ac:dyDescent="0.25">
      <c r="A55" t="s">
        <v>176</v>
      </c>
      <c r="B55">
        <v>264</v>
      </c>
      <c r="C55">
        <f t="shared" si="0"/>
        <v>2.64</v>
      </c>
      <c r="D55" t="s">
        <v>18</v>
      </c>
      <c r="E55" t="e">
        <f t="shared" si="1"/>
        <v>#VALUE!</v>
      </c>
      <c r="F55" t="e">
        <f t="shared" si="2"/>
        <v>#VALUE!</v>
      </c>
      <c r="G55" t="s">
        <v>29</v>
      </c>
      <c r="H55" t="s">
        <v>30</v>
      </c>
      <c r="I55" t="s">
        <v>20</v>
      </c>
      <c r="J55" t="s">
        <v>18</v>
      </c>
      <c r="K55" t="s">
        <v>177</v>
      </c>
      <c r="L55" t="s">
        <v>178</v>
      </c>
      <c r="M55" t="s">
        <v>117</v>
      </c>
    </row>
    <row r="56" spans="1:13" x14ac:dyDescent="0.25">
      <c r="A56" t="s">
        <v>179</v>
      </c>
      <c r="B56">
        <v>188</v>
      </c>
      <c r="C56">
        <f t="shared" si="0"/>
        <v>1.88</v>
      </c>
      <c r="D56">
        <v>80</v>
      </c>
      <c r="E56">
        <f t="shared" si="1"/>
        <v>22.634676324128566</v>
      </c>
      <c r="F56" t="str">
        <f t="shared" si="2"/>
        <v>Svelte Sith</v>
      </c>
      <c r="G56" t="s">
        <v>29</v>
      </c>
      <c r="H56" t="s">
        <v>69</v>
      </c>
      <c r="I56" t="s">
        <v>45</v>
      </c>
      <c r="J56">
        <v>22</v>
      </c>
      <c r="K56" t="s">
        <v>180</v>
      </c>
      <c r="L56" t="s">
        <v>181</v>
      </c>
      <c r="M56" t="s">
        <v>51</v>
      </c>
    </row>
    <row r="57" spans="1:13" x14ac:dyDescent="0.25">
      <c r="A57" t="s">
        <v>182</v>
      </c>
      <c r="B57">
        <v>196</v>
      </c>
      <c r="C57">
        <f t="shared" si="0"/>
        <v>1.96</v>
      </c>
      <c r="D57" t="s">
        <v>18</v>
      </c>
      <c r="E57" t="e">
        <f t="shared" si="1"/>
        <v>#VALUE!</v>
      </c>
      <c r="F57" t="e">
        <f t="shared" si="2"/>
        <v>#VALUE!</v>
      </c>
      <c r="G57" t="s">
        <v>29</v>
      </c>
      <c r="H57" t="s">
        <v>13</v>
      </c>
      <c r="I57" t="s">
        <v>13</v>
      </c>
      <c r="J57" t="s">
        <v>18</v>
      </c>
      <c r="K57" t="s">
        <v>183</v>
      </c>
      <c r="L57" t="s">
        <v>184</v>
      </c>
      <c r="M57" t="s">
        <v>126</v>
      </c>
    </row>
    <row r="58" spans="1:13" x14ac:dyDescent="0.25">
      <c r="A58" t="s">
        <v>185</v>
      </c>
      <c r="B58">
        <v>185</v>
      </c>
      <c r="C58">
        <f t="shared" si="0"/>
        <v>1.85</v>
      </c>
      <c r="D58">
        <v>85</v>
      </c>
      <c r="E58">
        <f t="shared" si="1"/>
        <v>24.835646457268076</v>
      </c>
      <c r="F58" t="str">
        <f t="shared" si="2"/>
        <v>Svelte Sith</v>
      </c>
      <c r="G58" t="s">
        <v>45</v>
      </c>
      <c r="H58" t="s">
        <v>95</v>
      </c>
      <c r="I58" t="s">
        <v>33</v>
      </c>
      <c r="J58" t="s">
        <v>18</v>
      </c>
      <c r="K58" t="s">
        <v>26</v>
      </c>
      <c r="L58" t="s">
        <v>15</v>
      </c>
      <c r="M58" t="s">
        <v>186</v>
      </c>
    </row>
    <row r="59" spans="1:13" x14ac:dyDescent="0.25">
      <c r="A59" t="s">
        <v>187</v>
      </c>
      <c r="B59">
        <v>157</v>
      </c>
      <c r="C59">
        <f t="shared" si="0"/>
        <v>1.57</v>
      </c>
      <c r="D59" t="s">
        <v>18</v>
      </c>
      <c r="E59" t="e">
        <f t="shared" si="1"/>
        <v>#VALUE!</v>
      </c>
      <c r="F59" t="e">
        <f t="shared" si="2"/>
        <v>#VALUE!</v>
      </c>
      <c r="G59" t="s">
        <v>33</v>
      </c>
      <c r="H59" t="s">
        <v>34</v>
      </c>
      <c r="I59" t="s">
        <v>33</v>
      </c>
      <c r="J59" t="s">
        <v>18</v>
      </c>
      <c r="K59" t="s">
        <v>26</v>
      </c>
      <c r="L59" t="s">
        <v>15</v>
      </c>
      <c r="M59" t="s">
        <v>186</v>
      </c>
    </row>
    <row r="60" spans="1:13" x14ac:dyDescent="0.25">
      <c r="A60" t="s">
        <v>188</v>
      </c>
      <c r="B60">
        <v>183</v>
      </c>
      <c r="C60">
        <f t="shared" si="0"/>
        <v>1.83</v>
      </c>
      <c r="D60" t="s">
        <v>18</v>
      </c>
      <c r="E60" t="e">
        <f t="shared" si="1"/>
        <v>#VALUE!</v>
      </c>
      <c r="F60" t="e">
        <f t="shared" si="2"/>
        <v>#VALUE!</v>
      </c>
      <c r="G60" t="s">
        <v>33</v>
      </c>
      <c r="H60" t="s">
        <v>12</v>
      </c>
      <c r="I60" t="s">
        <v>13</v>
      </c>
      <c r="J60">
        <v>82</v>
      </c>
      <c r="K60" t="s">
        <v>14</v>
      </c>
      <c r="L60" t="s">
        <v>15</v>
      </c>
      <c r="M60" t="s">
        <v>186</v>
      </c>
    </row>
    <row r="61" spans="1:13" x14ac:dyDescent="0.25">
      <c r="A61" t="s">
        <v>189</v>
      </c>
      <c r="B61">
        <v>183</v>
      </c>
      <c r="C61">
        <f t="shared" si="0"/>
        <v>1.83</v>
      </c>
      <c r="D61">
        <v>80</v>
      </c>
      <c r="E61">
        <f t="shared" si="1"/>
        <v>23.888440980620498</v>
      </c>
      <c r="F61" t="str">
        <f t="shared" si="2"/>
        <v>Svelte Sith</v>
      </c>
      <c r="G61" t="s">
        <v>29</v>
      </c>
      <c r="H61" t="s">
        <v>64</v>
      </c>
      <c r="I61" t="s">
        <v>20</v>
      </c>
      <c r="J61" t="s">
        <v>18</v>
      </c>
      <c r="K61" t="s">
        <v>190</v>
      </c>
      <c r="L61" t="s">
        <v>191</v>
      </c>
      <c r="M61" t="s">
        <v>192</v>
      </c>
    </row>
    <row r="62" spans="1:13" x14ac:dyDescent="0.25">
      <c r="A62" t="s">
        <v>193</v>
      </c>
      <c r="B62">
        <v>170</v>
      </c>
      <c r="C62">
        <f t="shared" si="0"/>
        <v>1.7</v>
      </c>
      <c r="D62">
        <v>56.2</v>
      </c>
      <c r="E62">
        <f t="shared" si="1"/>
        <v>19.446366782006923</v>
      </c>
      <c r="F62" t="str">
        <f t="shared" si="2"/>
        <v>Svelte Sith</v>
      </c>
      <c r="G62" t="s">
        <v>45</v>
      </c>
      <c r="H62" t="s">
        <v>20</v>
      </c>
      <c r="I62" t="s">
        <v>13</v>
      </c>
      <c r="J62">
        <v>58</v>
      </c>
      <c r="K62" t="s">
        <v>194</v>
      </c>
      <c r="L62" t="s">
        <v>195</v>
      </c>
      <c r="M62" t="s">
        <v>192</v>
      </c>
    </row>
    <row r="63" spans="1:13" x14ac:dyDescent="0.25">
      <c r="A63" t="s">
        <v>196</v>
      </c>
      <c r="B63">
        <v>166</v>
      </c>
      <c r="C63">
        <f t="shared" si="0"/>
        <v>1.66</v>
      </c>
      <c r="D63">
        <v>50</v>
      </c>
      <c r="E63">
        <f t="shared" si="1"/>
        <v>18.144868631151112</v>
      </c>
      <c r="F63" t="str">
        <f t="shared" si="2"/>
        <v>Svelte Sith</v>
      </c>
      <c r="G63" t="s">
        <v>45</v>
      </c>
      <c r="H63" t="s">
        <v>20</v>
      </c>
      <c r="I63" t="s">
        <v>13</v>
      </c>
      <c r="J63">
        <v>40</v>
      </c>
      <c r="K63" t="s">
        <v>194</v>
      </c>
      <c r="L63" t="s">
        <v>195</v>
      </c>
      <c r="M63" t="s">
        <v>186</v>
      </c>
    </row>
    <row r="64" spans="1:13" x14ac:dyDescent="0.25">
      <c r="A64" t="s">
        <v>197</v>
      </c>
      <c r="B64">
        <v>165</v>
      </c>
      <c r="C64">
        <f t="shared" si="0"/>
        <v>1.65</v>
      </c>
      <c r="D64" t="s">
        <v>18</v>
      </c>
      <c r="E64" t="e">
        <f t="shared" si="1"/>
        <v>#VALUE!</v>
      </c>
      <c r="F64" t="e">
        <f t="shared" si="2"/>
        <v>#VALUE!</v>
      </c>
      <c r="G64" t="s">
        <v>33</v>
      </c>
      <c r="H64" t="s">
        <v>34</v>
      </c>
      <c r="I64" t="s">
        <v>33</v>
      </c>
      <c r="J64" t="s">
        <v>18</v>
      </c>
      <c r="K64" t="s">
        <v>26</v>
      </c>
      <c r="L64" t="s">
        <v>15</v>
      </c>
      <c r="M64" t="s">
        <v>186</v>
      </c>
    </row>
    <row r="65" spans="1:13" x14ac:dyDescent="0.25">
      <c r="A65" t="s">
        <v>198</v>
      </c>
      <c r="B65">
        <v>193</v>
      </c>
      <c r="C65">
        <f t="shared" si="0"/>
        <v>1.93</v>
      </c>
      <c r="D65">
        <v>80</v>
      </c>
      <c r="E65">
        <f t="shared" si="1"/>
        <v>21.477086633198208</v>
      </c>
      <c r="F65" t="str">
        <f t="shared" si="2"/>
        <v>Svelte Sith</v>
      </c>
      <c r="G65" t="s">
        <v>30</v>
      </c>
      <c r="H65" t="s">
        <v>12</v>
      </c>
      <c r="I65" t="s">
        <v>33</v>
      </c>
      <c r="J65">
        <v>102</v>
      </c>
      <c r="K65" t="s">
        <v>199</v>
      </c>
      <c r="L65" t="s">
        <v>15</v>
      </c>
      <c r="M65" t="s">
        <v>192</v>
      </c>
    </row>
    <row r="66" spans="1:13" x14ac:dyDescent="0.25">
      <c r="A66" t="s">
        <v>200</v>
      </c>
      <c r="B66">
        <v>191</v>
      </c>
      <c r="C66">
        <f t="shared" si="0"/>
        <v>1.91</v>
      </c>
      <c r="D66" t="s">
        <v>18</v>
      </c>
      <c r="E66" t="e">
        <f t="shared" si="1"/>
        <v>#VALUE!</v>
      </c>
      <c r="F66" t="e">
        <f t="shared" si="2"/>
        <v>#VALUE!</v>
      </c>
      <c r="G66" t="s">
        <v>45</v>
      </c>
      <c r="H66" t="s">
        <v>201</v>
      </c>
      <c r="I66" t="s">
        <v>33</v>
      </c>
      <c r="J66">
        <v>67</v>
      </c>
      <c r="K66" t="s">
        <v>35</v>
      </c>
      <c r="L66" t="s">
        <v>15</v>
      </c>
      <c r="M66" t="s">
        <v>192</v>
      </c>
    </row>
    <row r="67" spans="1:13" x14ac:dyDescent="0.25">
      <c r="A67" t="s">
        <v>202</v>
      </c>
      <c r="B67">
        <v>183</v>
      </c>
      <c r="C67">
        <f t="shared" ref="C67:C88" si="3">B67/100</f>
        <v>1.83</v>
      </c>
      <c r="D67">
        <v>79</v>
      </c>
      <c r="E67">
        <f t="shared" ref="E67:E88" si="4">D67/(C67^2)</f>
        <v>23.589835468362743</v>
      </c>
      <c r="F67" t="str">
        <f t="shared" ref="F67:F88" si="5">IF(E67&gt;$D$5, "Jumbo Jedi", "Svelte Sith")</f>
        <v>Svelte Sith</v>
      </c>
      <c r="G67" t="s">
        <v>45</v>
      </c>
      <c r="H67" t="s">
        <v>201</v>
      </c>
      <c r="I67" t="s">
        <v>33</v>
      </c>
      <c r="J67">
        <v>66</v>
      </c>
      <c r="K67" t="s">
        <v>203</v>
      </c>
      <c r="L67" t="s">
        <v>15</v>
      </c>
      <c r="M67" t="s">
        <v>186</v>
      </c>
    </row>
    <row r="68" spans="1:13" x14ac:dyDescent="0.25">
      <c r="A68" t="s">
        <v>204</v>
      </c>
      <c r="B68">
        <v>168</v>
      </c>
      <c r="C68">
        <f t="shared" si="3"/>
        <v>1.68</v>
      </c>
      <c r="D68">
        <v>55</v>
      </c>
      <c r="E68">
        <f t="shared" si="4"/>
        <v>19.486961451247168</v>
      </c>
      <c r="F68" t="str">
        <f t="shared" si="5"/>
        <v>Svelte Sith</v>
      </c>
      <c r="G68" t="s">
        <v>205</v>
      </c>
      <c r="H68" t="s">
        <v>206</v>
      </c>
      <c r="I68" t="s">
        <v>20</v>
      </c>
      <c r="J68" t="s">
        <v>18</v>
      </c>
      <c r="K68" t="s">
        <v>207</v>
      </c>
      <c r="L68" t="s">
        <v>208</v>
      </c>
      <c r="M68" t="s">
        <v>186</v>
      </c>
    </row>
    <row r="69" spans="1:13" x14ac:dyDescent="0.25">
      <c r="A69" t="s">
        <v>209</v>
      </c>
      <c r="B69">
        <v>198</v>
      </c>
      <c r="C69">
        <f t="shared" si="3"/>
        <v>1.98</v>
      </c>
      <c r="D69">
        <v>102</v>
      </c>
      <c r="E69">
        <f t="shared" si="4"/>
        <v>26.017753290480563</v>
      </c>
      <c r="F69" t="str">
        <f t="shared" si="5"/>
        <v>Svelte Sith</v>
      </c>
      <c r="G69" t="s">
        <v>29</v>
      </c>
      <c r="H69" t="s">
        <v>33</v>
      </c>
      <c r="I69" t="s">
        <v>20</v>
      </c>
      <c r="J69" t="s">
        <v>18</v>
      </c>
      <c r="K69" t="s">
        <v>210</v>
      </c>
      <c r="L69" t="s">
        <v>211</v>
      </c>
      <c r="M69" t="s">
        <v>186</v>
      </c>
    </row>
    <row r="70" spans="1:13" x14ac:dyDescent="0.25">
      <c r="A70" t="s">
        <v>212</v>
      </c>
      <c r="B70">
        <v>229</v>
      </c>
      <c r="C70">
        <f t="shared" si="3"/>
        <v>2.29</v>
      </c>
      <c r="D70">
        <v>88</v>
      </c>
      <c r="E70">
        <f t="shared" si="4"/>
        <v>16.780763143342039</v>
      </c>
      <c r="F70" t="str">
        <f t="shared" si="5"/>
        <v>Svelte Sith</v>
      </c>
      <c r="G70" t="s">
        <v>29</v>
      </c>
      <c r="H70" t="s">
        <v>82</v>
      </c>
      <c r="I70" t="s">
        <v>45</v>
      </c>
      <c r="J70" t="s">
        <v>18</v>
      </c>
      <c r="K70" t="s">
        <v>86</v>
      </c>
      <c r="L70" t="s">
        <v>213</v>
      </c>
      <c r="M70" t="s">
        <v>186</v>
      </c>
    </row>
    <row r="71" spans="1:13" x14ac:dyDescent="0.25">
      <c r="A71" t="s">
        <v>214</v>
      </c>
      <c r="B71">
        <v>213</v>
      </c>
      <c r="C71">
        <f t="shared" si="3"/>
        <v>2.13</v>
      </c>
      <c r="D71" t="s">
        <v>18</v>
      </c>
      <c r="E71" t="e">
        <f t="shared" si="4"/>
        <v>#VALUE!</v>
      </c>
      <c r="F71" t="e">
        <f t="shared" si="5"/>
        <v>#VALUE!</v>
      </c>
      <c r="G71" t="s">
        <v>29</v>
      </c>
      <c r="H71" t="s">
        <v>82</v>
      </c>
      <c r="I71" t="s">
        <v>45</v>
      </c>
      <c r="J71" t="s">
        <v>18</v>
      </c>
      <c r="K71" t="s">
        <v>86</v>
      </c>
      <c r="L71" t="s">
        <v>213</v>
      </c>
      <c r="M71" t="s">
        <v>186</v>
      </c>
    </row>
    <row r="72" spans="1:13" x14ac:dyDescent="0.25">
      <c r="A72" t="s">
        <v>215</v>
      </c>
      <c r="B72">
        <v>167</v>
      </c>
      <c r="C72">
        <f t="shared" si="3"/>
        <v>1.67</v>
      </c>
      <c r="D72" t="s">
        <v>18</v>
      </c>
      <c r="E72" t="e">
        <f t="shared" si="4"/>
        <v>#VALUE!</v>
      </c>
      <c r="F72" t="e">
        <f t="shared" si="5"/>
        <v>#VALUE!</v>
      </c>
      <c r="G72" t="s">
        <v>30</v>
      </c>
      <c r="H72" t="s">
        <v>12</v>
      </c>
      <c r="I72" t="s">
        <v>13</v>
      </c>
      <c r="J72" t="s">
        <v>18</v>
      </c>
      <c r="K72" t="s">
        <v>123</v>
      </c>
      <c r="L72" t="s">
        <v>15</v>
      </c>
      <c r="M72" t="s">
        <v>186</v>
      </c>
    </row>
    <row r="73" spans="1:13" x14ac:dyDescent="0.25">
      <c r="A73" t="s">
        <v>216</v>
      </c>
      <c r="B73">
        <v>79</v>
      </c>
      <c r="C73">
        <f t="shared" si="3"/>
        <v>0.79</v>
      </c>
      <c r="D73">
        <v>15</v>
      </c>
      <c r="E73">
        <f t="shared" si="4"/>
        <v>24.034609838166958</v>
      </c>
      <c r="F73" t="str">
        <f t="shared" si="5"/>
        <v>Svelte Sith</v>
      </c>
      <c r="G73" t="s">
        <v>29</v>
      </c>
      <c r="H73" t="s">
        <v>217</v>
      </c>
      <c r="I73" t="s">
        <v>57</v>
      </c>
      <c r="J73" t="s">
        <v>18</v>
      </c>
      <c r="K73" t="s">
        <v>218</v>
      </c>
      <c r="L73" t="s">
        <v>219</v>
      </c>
      <c r="M73" t="s">
        <v>117</v>
      </c>
    </row>
    <row r="74" spans="1:13" x14ac:dyDescent="0.25">
      <c r="A74" t="s">
        <v>220</v>
      </c>
      <c r="B74">
        <v>96</v>
      </c>
      <c r="C74">
        <f t="shared" si="3"/>
        <v>0.96</v>
      </c>
      <c r="D74" t="s">
        <v>18</v>
      </c>
      <c r="E74" t="e">
        <f t="shared" si="4"/>
        <v>#VALUE!</v>
      </c>
      <c r="F74" t="e">
        <f t="shared" si="5"/>
        <v>#VALUE!</v>
      </c>
      <c r="G74" t="s">
        <v>29</v>
      </c>
      <c r="H74" t="s">
        <v>221</v>
      </c>
      <c r="I74" t="s">
        <v>222</v>
      </c>
      <c r="J74" t="s">
        <v>18</v>
      </c>
      <c r="K74" t="s">
        <v>18</v>
      </c>
      <c r="L74" t="s">
        <v>18</v>
      </c>
      <c r="M74" t="s">
        <v>192</v>
      </c>
    </row>
    <row r="75" spans="1:13" x14ac:dyDescent="0.25">
      <c r="A75" t="s">
        <v>223</v>
      </c>
      <c r="B75">
        <v>193</v>
      </c>
      <c r="C75">
        <f t="shared" si="3"/>
        <v>1.93</v>
      </c>
      <c r="D75">
        <v>48</v>
      </c>
      <c r="E75">
        <f t="shared" si="4"/>
        <v>12.886251979918924</v>
      </c>
      <c r="F75" t="str">
        <f t="shared" si="5"/>
        <v>Svelte Sith</v>
      </c>
      <c r="G75" t="s">
        <v>29</v>
      </c>
      <c r="H75" t="s">
        <v>224</v>
      </c>
      <c r="I75" t="s">
        <v>57</v>
      </c>
      <c r="J75" t="s">
        <v>18</v>
      </c>
      <c r="K75" t="s">
        <v>225</v>
      </c>
      <c r="L75" t="s">
        <v>226</v>
      </c>
      <c r="M75" t="s">
        <v>186</v>
      </c>
    </row>
    <row r="76" spans="1:13" x14ac:dyDescent="0.25">
      <c r="A76" t="s">
        <v>227</v>
      </c>
      <c r="B76">
        <v>191</v>
      </c>
      <c r="C76">
        <f t="shared" si="3"/>
        <v>1.91</v>
      </c>
      <c r="D76" t="s">
        <v>18</v>
      </c>
      <c r="E76" t="e">
        <f t="shared" si="4"/>
        <v>#VALUE!</v>
      </c>
      <c r="F76" t="e">
        <f t="shared" si="5"/>
        <v>#VALUE!</v>
      </c>
      <c r="G76" t="s">
        <v>29</v>
      </c>
      <c r="H76" t="s">
        <v>82</v>
      </c>
      <c r="I76" t="s">
        <v>19</v>
      </c>
      <c r="J76" t="s">
        <v>18</v>
      </c>
      <c r="K76" t="s">
        <v>228</v>
      </c>
      <c r="L76" t="s">
        <v>229</v>
      </c>
      <c r="M76" t="s">
        <v>186</v>
      </c>
    </row>
    <row r="77" spans="1:13" x14ac:dyDescent="0.25">
      <c r="A77" t="s">
        <v>230</v>
      </c>
      <c r="B77">
        <v>178</v>
      </c>
      <c r="C77">
        <f t="shared" si="3"/>
        <v>1.78</v>
      </c>
      <c r="D77">
        <v>57</v>
      </c>
      <c r="E77">
        <f t="shared" si="4"/>
        <v>17.99015275849009</v>
      </c>
      <c r="F77" t="str">
        <f t="shared" si="5"/>
        <v>Svelte Sith</v>
      </c>
      <c r="G77" t="s">
        <v>29</v>
      </c>
      <c r="H77" t="s">
        <v>231</v>
      </c>
      <c r="I77" t="s">
        <v>45</v>
      </c>
      <c r="J77" t="s">
        <v>18</v>
      </c>
      <c r="K77" t="s">
        <v>232</v>
      </c>
      <c r="L77" t="s">
        <v>233</v>
      </c>
      <c r="M77" t="s">
        <v>192</v>
      </c>
    </row>
    <row r="78" spans="1:13" x14ac:dyDescent="0.25">
      <c r="A78" t="s">
        <v>234</v>
      </c>
      <c r="B78">
        <v>216</v>
      </c>
      <c r="C78">
        <f t="shared" si="3"/>
        <v>2.16</v>
      </c>
      <c r="D78">
        <v>159</v>
      </c>
      <c r="E78">
        <f t="shared" si="4"/>
        <v>34.079218106995881</v>
      </c>
      <c r="F78" t="str">
        <f t="shared" si="5"/>
        <v>Svelte Sith</v>
      </c>
      <c r="G78" t="s">
        <v>29</v>
      </c>
      <c r="H78" t="s">
        <v>235</v>
      </c>
      <c r="I78" t="s">
        <v>236</v>
      </c>
      <c r="J78" t="s">
        <v>18</v>
      </c>
      <c r="K78" t="s">
        <v>237</v>
      </c>
      <c r="L78" t="s">
        <v>238</v>
      </c>
      <c r="M78" t="s">
        <v>239</v>
      </c>
    </row>
    <row r="79" spans="1:13" x14ac:dyDescent="0.25">
      <c r="A79" t="s">
        <v>240</v>
      </c>
      <c r="B79">
        <v>234</v>
      </c>
      <c r="C79">
        <f t="shared" si="3"/>
        <v>2.34</v>
      </c>
      <c r="D79">
        <v>136</v>
      </c>
      <c r="E79">
        <f t="shared" si="4"/>
        <v>24.837460734896638</v>
      </c>
      <c r="F79" t="str">
        <f t="shared" si="5"/>
        <v>Svelte Sith</v>
      </c>
      <c r="G79" t="s">
        <v>33</v>
      </c>
      <c r="H79" t="s">
        <v>33</v>
      </c>
      <c r="I79" t="s">
        <v>13</v>
      </c>
      <c r="J79" t="s">
        <v>18</v>
      </c>
      <c r="K79" t="s">
        <v>58</v>
      </c>
      <c r="L79" t="s">
        <v>59</v>
      </c>
      <c r="M79" t="s">
        <v>239</v>
      </c>
    </row>
    <row r="80" spans="1:13" x14ac:dyDescent="0.25">
      <c r="A80" t="s">
        <v>241</v>
      </c>
      <c r="B80">
        <v>188</v>
      </c>
      <c r="C80">
        <f t="shared" si="3"/>
        <v>1.88</v>
      </c>
      <c r="D80">
        <v>79</v>
      </c>
      <c r="E80">
        <f t="shared" si="4"/>
        <v>22.351742870076958</v>
      </c>
      <c r="F80" t="str">
        <f t="shared" si="5"/>
        <v>Svelte Sith</v>
      </c>
      <c r="G80" t="s">
        <v>33</v>
      </c>
      <c r="H80" t="s">
        <v>34</v>
      </c>
      <c r="I80" t="s">
        <v>33</v>
      </c>
      <c r="J80" t="s">
        <v>18</v>
      </c>
      <c r="K80" t="s">
        <v>35</v>
      </c>
      <c r="L80" t="s">
        <v>15</v>
      </c>
      <c r="M80" t="s">
        <v>55</v>
      </c>
    </row>
    <row r="81" spans="1:13" x14ac:dyDescent="0.25">
      <c r="A81" t="s">
        <v>242</v>
      </c>
      <c r="B81">
        <v>178</v>
      </c>
      <c r="C81">
        <f t="shared" si="3"/>
        <v>1.78</v>
      </c>
      <c r="D81">
        <v>48</v>
      </c>
      <c r="E81">
        <f t="shared" si="4"/>
        <v>15.149602322939023</v>
      </c>
      <c r="F81" t="str">
        <f t="shared" si="5"/>
        <v>Svelte Sith</v>
      </c>
      <c r="G81" t="s">
        <v>29</v>
      </c>
      <c r="H81" t="s">
        <v>83</v>
      </c>
      <c r="I81" t="s">
        <v>30</v>
      </c>
      <c r="J81" t="s">
        <v>18</v>
      </c>
      <c r="K81" t="s">
        <v>243</v>
      </c>
      <c r="L81" t="s">
        <v>18</v>
      </c>
      <c r="M81" t="s">
        <v>192</v>
      </c>
    </row>
    <row r="82" spans="1:13" x14ac:dyDescent="0.25">
      <c r="A82" t="s">
        <v>244</v>
      </c>
      <c r="B82">
        <v>206</v>
      </c>
      <c r="C82">
        <f t="shared" si="3"/>
        <v>2.06</v>
      </c>
      <c r="D82">
        <v>80</v>
      </c>
      <c r="E82">
        <f t="shared" si="4"/>
        <v>18.851918182675089</v>
      </c>
      <c r="F82" t="str">
        <f t="shared" si="5"/>
        <v>Svelte Sith</v>
      </c>
      <c r="G82" t="s">
        <v>29</v>
      </c>
      <c r="H82" t="s">
        <v>82</v>
      </c>
      <c r="I82" t="s">
        <v>45</v>
      </c>
      <c r="J82" t="s">
        <v>18</v>
      </c>
      <c r="K82" t="s">
        <v>245</v>
      </c>
      <c r="L82" t="s">
        <v>246</v>
      </c>
      <c r="M82" t="s">
        <v>239</v>
      </c>
    </row>
    <row r="83" spans="1:13" x14ac:dyDescent="0.25">
      <c r="A83" t="s">
        <v>247</v>
      </c>
      <c r="B83" t="s">
        <v>18</v>
      </c>
      <c r="C83" t="e">
        <f t="shared" si="3"/>
        <v>#VALUE!</v>
      </c>
      <c r="D83" t="s">
        <v>18</v>
      </c>
      <c r="E83" t="e">
        <f t="shared" si="4"/>
        <v>#VALUE!</v>
      </c>
      <c r="F83" t="e">
        <f t="shared" si="5"/>
        <v>#VALUE!</v>
      </c>
      <c r="G83" t="s">
        <v>45</v>
      </c>
      <c r="H83" t="s">
        <v>95</v>
      </c>
      <c r="I83" t="s">
        <v>95</v>
      </c>
      <c r="J83" t="s">
        <v>18</v>
      </c>
      <c r="K83" t="s">
        <v>18</v>
      </c>
      <c r="L83" t="s">
        <v>15</v>
      </c>
      <c r="M83" t="s">
        <v>248</v>
      </c>
    </row>
    <row r="84" spans="1:13" x14ac:dyDescent="0.25">
      <c r="A84" t="s">
        <v>249</v>
      </c>
      <c r="B84" t="s">
        <v>18</v>
      </c>
      <c r="C84" t="e">
        <f t="shared" si="3"/>
        <v>#VALUE!</v>
      </c>
      <c r="D84" t="s">
        <v>18</v>
      </c>
      <c r="E84" t="e">
        <f t="shared" si="4"/>
        <v>#VALUE!</v>
      </c>
      <c r="F84" t="e">
        <f t="shared" si="5"/>
        <v>#VALUE!</v>
      </c>
      <c r="G84" t="s">
        <v>33</v>
      </c>
      <c r="H84" t="s">
        <v>34</v>
      </c>
      <c r="I84" t="s">
        <v>74</v>
      </c>
      <c r="J84" t="s">
        <v>18</v>
      </c>
      <c r="K84" t="s">
        <v>18</v>
      </c>
      <c r="L84" t="s">
        <v>15</v>
      </c>
      <c r="M84" t="s">
        <v>248</v>
      </c>
    </row>
    <row r="85" spans="1:13" x14ac:dyDescent="0.25">
      <c r="A85" t="s">
        <v>250</v>
      </c>
      <c r="B85" t="s">
        <v>18</v>
      </c>
      <c r="C85" t="e">
        <f t="shared" si="3"/>
        <v>#VALUE!</v>
      </c>
      <c r="D85" t="s">
        <v>18</v>
      </c>
      <c r="E85" t="e">
        <f t="shared" si="4"/>
        <v>#VALUE!</v>
      </c>
      <c r="F85" t="e">
        <f t="shared" si="5"/>
        <v>#VALUE!</v>
      </c>
      <c r="G85" t="s">
        <v>33</v>
      </c>
      <c r="H85" t="s">
        <v>34</v>
      </c>
      <c r="I85" t="s">
        <v>33</v>
      </c>
      <c r="J85" t="s">
        <v>18</v>
      </c>
      <c r="K85" t="s">
        <v>18</v>
      </c>
      <c r="L85" t="s">
        <v>15</v>
      </c>
      <c r="M85" t="s">
        <v>248</v>
      </c>
    </row>
    <row r="86" spans="1:13" x14ac:dyDescent="0.25">
      <c r="A86" t="s">
        <v>251</v>
      </c>
      <c r="B86" t="s">
        <v>18</v>
      </c>
      <c r="C86" t="e">
        <f t="shared" si="3"/>
        <v>#VALUE!</v>
      </c>
      <c r="D86" t="s">
        <v>18</v>
      </c>
      <c r="E86" t="e">
        <f t="shared" si="4"/>
        <v>#VALUE!</v>
      </c>
      <c r="F86" t="e">
        <f t="shared" si="5"/>
        <v>#VALUE!</v>
      </c>
      <c r="G86" t="s">
        <v>29</v>
      </c>
      <c r="H86" t="s">
        <v>29</v>
      </c>
      <c r="I86" t="s">
        <v>45</v>
      </c>
      <c r="J86" t="s">
        <v>18</v>
      </c>
      <c r="K86" t="s">
        <v>18</v>
      </c>
      <c r="L86" t="s">
        <v>21</v>
      </c>
      <c r="M86" t="s">
        <v>248</v>
      </c>
    </row>
    <row r="87" spans="1:13" x14ac:dyDescent="0.25">
      <c r="A87" t="s">
        <v>252</v>
      </c>
      <c r="B87" t="s">
        <v>18</v>
      </c>
      <c r="C87" t="e">
        <f t="shared" si="3"/>
        <v>#VALUE!</v>
      </c>
      <c r="D87" t="s">
        <v>18</v>
      </c>
      <c r="E87" t="e">
        <f t="shared" si="4"/>
        <v>#VALUE!</v>
      </c>
      <c r="F87" t="e">
        <f t="shared" si="5"/>
        <v>#VALUE!</v>
      </c>
      <c r="G87" t="s">
        <v>57</v>
      </c>
      <c r="H87" t="s">
        <v>57</v>
      </c>
      <c r="I87" t="s">
        <v>57</v>
      </c>
      <c r="J87" t="s">
        <v>18</v>
      </c>
      <c r="K87" t="s">
        <v>18</v>
      </c>
      <c r="L87" t="s">
        <v>18</v>
      </c>
      <c r="M87" t="s">
        <v>248</v>
      </c>
    </row>
    <row r="88" spans="1:13" x14ac:dyDescent="0.25">
      <c r="A88" t="s">
        <v>253</v>
      </c>
      <c r="B88">
        <v>165</v>
      </c>
      <c r="C88">
        <f t="shared" si="3"/>
        <v>1.65</v>
      </c>
      <c r="D88">
        <v>45</v>
      </c>
      <c r="E88">
        <f t="shared" si="4"/>
        <v>16.528925619834713</v>
      </c>
      <c r="F88" t="str">
        <f t="shared" si="5"/>
        <v>Svelte Sith</v>
      </c>
      <c r="G88" t="s">
        <v>33</v>
      </c>
      <c r="H88" t="s">
        <v>34</v>
      </c>
      <c r="I88" t="s">
        <v>33</v>
      </c>
      <c r="J88">
        <v>46</v>
      </c>
      <c r="K88" t="s">
        <v>26</v>
      </c>
      <c r="L88" t="s">
        <v>15</v>
      </c>
      <c r="M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 x14ac:dyDescent="0.25"/>
  <cols>
    <col min="1" max="1" width="10.375" bestFit="1" customWidth="1"/>
    <col min="2" max="2" width="23.75" bestFit="1" customWidth="1"/>
  </cols>
  <sheetData>
    <row r="1" spans="1:2" x14ac:dyDescent="0.25">
      <c r="A1" s="1" t="s">
        <v>0</v>
      </c>
      <c r="B1" s="2" t="s">
        <v>254</v>
      </c>
    </row>
    <row r="2" spans="1:2" x14ac:dyDescent="0.25">
      <c r="A2" s="1" t="s">
        <v>1</v>
      </c>
      <c r="B2" s="2" t="s">
        <v>255</v>
      </c>
    </row>
    <row r="3" spans="1:2" x14ac:dyDescent="0.25">
      <c r="A3" s="1" t="s">
        <v>2</v>
      </c>
      <c r="B3" s="2" t="s">
        <v>256</v>
      </c>
    </row>
    <row r="4" spans="1:2" x14ac:dyDescent="0.25">
      <c r="A4" s="1" t="s">
        <v>3</v>
      </c>
      <c r="B4" s="2" t="s">
        <v>257</v>
      </c>
    </row>
    <row r="5" spans="1:2" x14ac:dyDescent="0.25">
      <c r="A5" s="1" t="s">
        <v>4</v>
      </c>
      <c r="B5" s="2" t="s">
        <v>258</v>
      </c>
    </row>
    <row r="6" spans="1:2" x14ac:dyDescent="0.25">
      <c r="A6" s="1" t="s">
        <v>5</v>
      </c>
      <c r="B6" s="2" t="s">
        <v>259</v>
      </c>
    </row>
    <row r="7" spans="1:2" x14ac:dyDescent="0.25">
      <c r="A7" s="1" t="s">
        <v>6</v>
      </c>
      <c r="B7" s="2" t="s">
        <v>260</v>
      </c>
    </row>
    <row r="8" spans="1:2" x14ac:dyDescent="0.25">
      <c r="A8" s="1" t="s">
        <v>7</v>
      </c>
      <c r="B8" s="2" t="s">
        <v>261</v>
      </c>
    </row>
    <row r="9" spans="1:2" x14ac:dyDescent="0.25">
      <c r="A9" s="1" t="s">
        <v>8</v>
      </c>
      <c r="B9" s="2" t="s">
        <v>262</v>
      </c>
    </row>
    <row r="10" spans="1:2" x14ac:dyDescent="0.25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John D Meeker</cp:lastModifiedBy>
  <cp:revision/>
  <dcterms:created xsi:type="dcterms:W3CDTF">2020-02-17T22:11:26Z</dcterms:created>
  <dcterms:modified xsi:type="dcterms:W3CDTF">2026-01-13T14:22:39Z</dcterms:modified>
  <cp:category/>
  <cp:contentStatus/>
</cp:coreProperties>
</file>